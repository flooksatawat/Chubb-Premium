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4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5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6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updateLinks="never"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C:\Users\Best\Desktop\"/>
    </mc:Choice>
  </mc:AlternateContent>
  <xr:revisionPtr revIDLastSave="0" documentId="8_{F36B9CD8-2105-E648-8DFC-6C1A63B9F661}" xr6:coauthVersionLast="47" xr6:coauthVersionMax="47" xr10:uidLastSave="{00000000-0000-0000-0000-000000000000}"/>
  <workbookProtection workbookAlgorithmName="SHA-512" workbookHashValue="0EtVKxLtDgdIWOBb9YSXxmRUfGR4Rpb2Oq9/YwwtZ/cMOhzLws+lD943Uutt3z3rAaoWZHlc5lodoNpg8vfJzQ==" workbookSaltValue="XMLPZlR4tQ7snBToc8t5dw==" workbookSpinCount="100000" revisionsAlgorithmName="SHA-512" revisionsHashValue="oHUCcuSArJ5qSW11DrqFLJeXmb6qjCnjkMAoaVG171oAPh8fU/XDmvzLvHVLUly/D3eFC2kwtO59t/xiNzQtkw==" revisionsSaltValue="D/ceobcEZNz5vfgFdDE18g==" revisionsSpinCount="100000" lockStructure="1" lockRevision="1"/>
  <bookViews>
    <workbookView xWindow="-108" yWindow="-108" windowWidth="23256" windowHeight="12456" tabRatio="898" firstSheet="1" activeTab="10" xr2:uid="{00000000-000D-0000-FFFF-FFFF00000000}"/>
  </bookViews>
  <sheets>
    <sheet name="COM" sheetId="1" state="veryHidden" r:id="rId1"/>
    <sheet name="โครงสร้างตัวแทน" sheetId="2" r:id="rId2"/>
    <sheet name="โครงสร้างรายได้" sheetId="3" r:id="rId3"/>
    <sheet name="รายได้" sheetId="4" r:id="rId4"/>
    <sheet name="TIME" sheetId="5" r:id="rId5"/>
    <sheet name="PA" sheetId="6" r:id="rId6"/>
    <sheet name="Life" sheetId="7" r:id="rId7"/>
    <sheet name="PA&amp;Life" sheetId="8" r:id="rId8"/>
    <sheet name="COM10" sheetId="9" r:id="rId9"/>
    <sheet name="COM5" sheetId="10" r:id="rId10"/>
    <sheet name="ขายรายเดือน 1" sheetId="11" r:id="rId11"/>
    <sheet name="ขายรายเดือน 2" sheetId="12" r:id="rId12"/>
    <sheet name="ขายรายเดือน 3" sheetId="13" r:id="rId13"/>
    <sheet name="รายได้ตัวแทน" sheetId="14" r:id="rId14"/>
    <sheet name="รายได้ตัวแทน 5 ปี" sheetId="15" r:id="rId15"/>
  </sheets>
  <externalReferences>
    <externalReference r:id="rId16"/>
  </externalReferences>
  <definedNames>
    <definedName name="______XL19" localSheetId="1">#REF!</definedName>
    <definedName name="______XL19">#REF!</definedName>
    <definedName name="_____XL19" localSheetId="1">#REF!</definedName>
    <definedName name="_____XL19">#REF!</definedName>
    <definedName name="____XL19" localSheetId="1">#REF!</definedName>
    <definedName name="____XL19">#REF!</definedName>
    <definedName name="___XL19" localSheetId="1">#REF!</definedName>
    <definedName name="___XL19">#REF!</definedName>
    <definedName name="__WD10" localSheetId="1">#REF!</definedName>
    <definedName name="__WD10">#REF!</definedName>
    <definedName name="__XL19" localSheetId="1">#REF!</definedName>
    <definedName name="__XL19">#REF!</definedName>
    <definedName name="_Lim19" localSheetId="1">#REF!</definedName>
    <definedName name="_Lim19" localSheetId="3">#REF!</definedName>
    <definedName name="_Lim19">#REF!</definedName>
    <definedName name="_WD10" localSheetId="1">#REF!</definedName>
    <definedName name="_WD10">#REF!</definedName>
    <definedName name="Aๅ" localSheetId="1">#REF!</definedName>
    <definedName name="Aๅ">#REF!</definedName>
    <definedName name="FYC" localSheetId="1">#REF!</definedName>
    <definedName name="FYC" localSheetId="3">#REF!</definedName>
    <definedName name="FYC">#REF!</definedName>
    <definedName name="FYC_DPO" localSheetId="1">#REF!</definedName>
    <definedName name="FYC_DPO" localSheetId="3">#REF!</definedName>
    <definedName name="FYC_DPO">#REF!</definedName>
    <definedName name="FYC_DPO_AL" localSheetId="1">#REF!</definedName>
    <definedName name="FYC_DPO_AL" localSheetId="3">#REF!</definedName>
    <definedName name="FYC_DPO_AL">#REF!</definedName>
    <definedName name="FYC_Life" localSheetId="1">#REF!</definedName>
    <definedName name="FYC_Life" localSheetId="3">#REF!</definedName>
    <definedName name="FYC_Life">#REF!</definedName>
    <definedName name="FYC_PA" localSheetId="1">#REF!</definedName>
    <definedName name="FYC_PA" localSheetId="3">#REF!</definedName>
    <definedName name="FYC_PA">#REF!</definedName>
    <definedName name="FYC_PV" localSheetId="1">#REF!</definedName>
    <definedName name="FYC_PV" localSheetId="3">#REF!</definedName>
    <definedName name="FYC_PV">#REF!</definedName>
    <definedName name="FYC_PV12" localSheetId="1">#REF!</definedName>
    <definedName name="FYC_PV12" localSheetId="3">#REF!</definedName>
    <definedName name="FYC_PV12">#REF!</definedName>
    <definedName name="FYP_PV" localSheetId="1">#REF!</definedName>
    <definedName name="FYP_PV" localSheetId="3">#REF!</definedName>
    <definedName name="FYP_PV">#REF!</definedName>
    <definedName name="FYP_PV12" localSheetId="1">#REF!</definedName>
    <definedName name="FYP_PV12" localSheetId="3">#REF!</definedName>
    <definedName name="FYP_PV12">#REF!</definedName>
    <definedName name="Income" localSheetId="1">#REF!</definedName>
    <definedName name="Income" localSheetId="3">#REF!</definedName>
    <definedName name="Income">#REF!</definedName>
    <definedName name="Lim19pcn" localSheetId="1">#REF!</definedName>
    <definedName name="Lim19pcn" localSheetId="3">#REF!</definedName>
    <definedName name="Lim19pcn">#REF!</definedName>
    <definedName name="Num_Pmt_Per_Year" localSheetId="1">'[1]Int.-Bank3'!#REF!</definedName>
    <definedName name="Num_Pmt_Per_Year" localSheetId="3">'[1]Int.-Bank3'!#REF!</definedName>
    <definedName name="Num_Pmt_Per_Year">'[1]Int.-Bank3'!#REF!</definedName>
    <definedName name="Pay_Num" localSheetId="1">'[1]Int.-Bank3'!#REF!</definedName>
    <definedName name="Pay_Num" localSheetId="3">'[1]Int.-Bank3'!#REF!</definedName>
    <definedName name="Pay_Num">'[1]Int.-Bank3'!#REF!</definedName>
    <definedName name="_xlnm.Print_Area" localSheetId="8">'COM10'!$B$2:$M$27</definedName>
    <definedName name="_xlnm.Print_Area" localSheetId="9">'COM5'!$A$1:$P$30</definedName>
    <definedName name="_xlnm.Print_Area" localSheetId="6">Life!$A$1:$Q$15</definedName>
    <definedName name="_xlnm.Print_Area" localSheetId="5">PA!$A$1:$Q$23</definedName>
    <definedName name="_xlnm.Print_Area" localSheetId="7">'PA&amp;Life'!$A$1:$O$20</definedName>
    <definedName name="_xlnm.Print_Area" localSheetId="4">TIME!$A$1:$U$16</definedName>
    <definedName name="_xlnm.Print_Area" localSheetId="10">'ขายรายเดือน 1'!$A$1:$U$73</definedName>
    <definedName name="_xlnm.Print_Area" localSheetId="11">'ขายรายเดือน 2'!$A$1:$J$25</definedName>
    <definedName name="_xlnm.Print_Area" localSheetId="12">'ขายรายเดือน 3'!$A$1:$U$39</definedName>
    <definedName name="_xlnm.Print_Area" localSheetId="1">โครงสร้างตัวแทน!$B$3:$F$50</definedName>
    <definedName name="_xlnm.Print_Area" localSheetId="2">โครงสร้างรายได้!$A$1:$I$15</definedName>
    <definedName name="_xlnm.Print_Area" localSheetId="3">รายได้!$B$2:$L$35</definedName>
    <definedName name="_xlnm.Print_Area" localSheetId="13">รายได้ตัวแทน!$B$2:$M$31</definedName>
    <definedName name="_xlnm.Print_Area" localSheetId="14">'รายได้ตัวแทน 5 ปี'!$B$2:$M$21</definedName>
    <definedName name="Ratetable" localSheetId="1">#REF!</definedName>
    <definedName name="Ratetable">#REF!</definedName>
    <definedName name="Start" localSheetId="1">'[1]Int.-Bank3'!#REF!</definedName>
    <definedName name="Start" localSheetId="3">'[1]Int.-Bank3'!#REF!</definedName>
    <definedName name="Start">'[1]Int.-Bank3'!#REF!</definedName>
    <definedName name="Z_00AC2CC8_9B9F_4979_A039_643E7B67D066_.wvu.Cols" localSheetId="0" hidden="1">COM!$F:$U</definedName>
    <definedName name="Z_00AC2CC8_9B9F_4979_A039_643E7B67D066_.wvu.Cols" localSheetId="5" hidden="1">PA!$AB:$AF</definedName>
    <definedName name="Z_00AC2CC8_9B9F_4979_A039_643E7B67D066_.wvu.Cols" localSheetId="4" hidden="1">TIME!$Y:$Y</definedName>
    <definedName name="Z_00AC2CC8_9B9F_4979_A039_643E7B67D066_.wvu.Cols" localSheetId="10" hidden="1">'ขายรายเดือน 1'!$X:$Y</definedName>
    <definedName name="Z_00AC2CC8_9B9F_4979_A039_643E7B67D066_.wvu.Cols" localSheetId="11" hidden="1">'ขายรายเดือน 2'!#REF!</definedName>
    <definedName name="Z_00AC2CC8_9B9F_4979_A039_643E7B67D066_.wvu.Cols" localSheetId="12" hidden="1">'ขายรายเดือน 3'!#REF!</definedName>
    <definedName name="Z_00AC2CC8_9B9F_4979_A039_643E7B67D066_.wvu.Cols" localSheetId="3" hidden="1">รายได้!$AA:$BH</definedName>
    <definedName name="Z_00AC2CC8_9B9F_4979_A039_643E7B67D066_.wvu.PrintArea" localSheetId="8" hidden="1">'COM10'!$B$2:$M$27</definedName>
    <definedName name="Z_00AC2CC8_9B9F_4979_A039_643E7B67D066_.wvu.PrintArea" localSheetId="9" hidden="1">'COM5'!$A$1:$P$30</definedName>
    <definedName name="Z_00AC2CC8_9B9F_4979_A039_643E7B67D066_.wvu.PrintArea" localSheetId="6" hidden="1">Life!$A$1:$Q$15</definedName>
    <definedName name="Z_00AC2CC8_9B9F_4979_A039_643E7B67D066_.wvu.PrintArea" localSheetId="5" hidden="1">PA!$A$1:$Q$23</definedName>
    <definedName name="Z_00AC2CC8_9B9F_4979_A039_643E7B67D066_.wvu.PrintArea" localSheetId="7" hidden="1">'PA&amp;Life'!$A$1:$O$20</definedName>
    <definedName name="Z_00AC2CC8_9B9F_4979_A039_643E7B67D066_.wvu.PrintArea" localSheetId="4" hidden="1">TIME!$A$1:$U$16</definedName>
    <definedName name="Z_00AC2CC8_9B9F_4979_A039_643E7B67D066_.wvu.PrintArea" localSheetId="10" hidden="1">'ขายรายเดือน 1'!$A$1:$U$73</definedName>
    <definedName name="Z_00AC2CC8_9B9F_4979_A039_643E7B67D066_.wvu.PrintArea" localSheetId="11" hidden="1">'ขายรายเดือน 2'!$A$1:$J$24</definedName>
    <definedName name="Z_00AC2CC8_9B9F_4979_A039_643E7B67D066_.wvu.PrintArea" localSheetId="12" hidden="1">'ขายรายเดือน 3'!$A$1:$U$39</definedName>
    <definedName name="Z_00AC2CC8_9B9F_4979_A039_643E7B67D066_.wvu.PrintArea" localSheetId="1" hidden="1">โครงสร้างตัวแทน!$B$3:$F$50</definedName>
    <definedName name="Z_00AC2CC8_9B9F_4979_A039_643E7B67D066_.wvu.PrintArea" localSheetId="2" hidden="1">โครงสร้างรายได้!$A$1:$I$15</definedName>
    <definedName name="Z_00AC2CC8_9B9F_4979_A039_643E7B67D066_.wvu.PrintArea" localSheetId="3" hidden="1">รายได้!$B$2:$L$35</definedName>
    <definedName name="Z_00AC2CC8_9B9F_4979_A039_643E7B67D066_.wvu.PrintArea" localSheetId="13" hidden="1">รายได้ตัวแทน!$B$2:$M$31</definedName>
    <definedName name="Z_00AC2CC8_9B9F_4979_A039_643E7B67D066_.wvu.PrintArea" localSheetId="14" hidden="1">'รายได้ตัวแทน 5 ปี'!$B$2:$M$21</definedName>
    <definedName name="Z_00AC2CC8_9B9F_4979_A039_643E7B67D066_.wvu.Rows" localSheetId="10" hidden="1">'ขายรายเดือน 1'!$1:$1</definedName>
    <definedName name="Z_00AC2CC8_9B9F_4979_A039_643E7B67D066_.wvu.Rows" localSheetId="11" hidden="1">'ขายรายเดือน 2'!$1:$1</definedName>
    <definedName name="Z_00AC2CC8_9B9F_4979_A039_643E7B67D066_.wvu.Rows" localSheetId="12" hidden="1">'ขายรายเดือน 3'!#REF!</definedName>
    <definedName name="Z_00AC2CC8_9B9F_4979_A039_643E7B67D066_.wvu.Rows" localSheetId="1" hidden="1">โครงสร้างตัวแทน!$1:$1</definedName>
    <definedName name="Z_5CD23BB7_2785_4476_8463_E6A82DD3A526_.wvu.Cols" localSheetId="4" hidden="1">TIME!$N:$N,TIME!$R:$R,TIME!#REF!</definedName>
    <definedName name="Z_5CD23BB7_2785_4476_8463_E6A82DD3A526_.wvu.PrintArea" localSheetId="4" hidden="1">TIME!$A$1:$T$15</definedName>
    <definedName name="Z_667EEF7A_262F_4932_80D5_D47443835FA2_.wvu.Cols" localSheetId="4" hidden="1">TIME!#REF!,TIME!#REF!</definedName>
    <definedName name="Z_667EEF7A_262F_4932_80D5_D47443835FA2_.wvu.PrintArea" localSheetId="8" hidden="1">'COM10'!$A$32:$N$34</definedName>
    <definedName name="Z_667EEF7A_262F_4932_80D5_D47443835FA2_.wvu.PrintArea" localSheetId="9" hidden="1">'COM5'!$A$31:$P$31</definedName>
    <definedName name="Z_667EEF7A_262F_4932_80D5_D47443835FA2_.wvu.PrintArea" localSheetId="6" hidden="1">Life!$A$20:$Q$38</definedName>
    <definedName name="Z_667EEF7A_262F_4932_80D5_D47443835FA2_.wvu.PrintArea" localSheetId="5" hidden="1">PA!$A$41:$Q$65</definedName>
    <definedName name="Z_667EEF7A_262F_4932_80D5_D47443835FA2_.wvu.PrintArea" localSheetId="7" hidden="1">'PA&amp;Life'!$A$21:$O$39</definedName>
    <definedName name="Z_667EEF7A_262F_4932_80D5_D47443835FA2_.wvu.PrintArea" localSheetId="4" hidden="1">TIME!$A$18:$U$22</definedName>
    <definedName name="Z_667EEF7A_262F_4932_80D5_D47443835FA2_.wvu.PrintArea" localSheetId="10" hidden="1">'ขายรายเดือน 1'!$B$76:$T$95</definedName>
    <definedName name="Z_667EEF7A_262F_4932_80D5_D47443835FA2_.wvu.PrintArea" localSheetId="11" hidden="1">'ขายรายเดือน 2'!$B$27:$I$46</definedName>
    <definedName name="Z_667EEF7A_262F_4932_80D5_D47443835FA2_.wvu.PrintArea" localSheetId="12" hidden="1">'ขายรายเดือน 3'!$B$42:$T$61</definedName>
    <definedName name="Z_667EEF7A_262F_4932_80D5_D47443835FA2_.wvu.PrintArea" localSheetId="13" hidden="1">รายได้ตัวแทน!$N$34:$N$65</definedName>
    <definedName name="Z_667EEF7A_262F_4932_80D5_D47443835FA2_.wvu.PrintArea" localSheetId="14" hidden="1">'รายได้ตัวแทน 5 ปี'!$N$24:$N$55</definedName>
    <definedName name="Z_667EEF7A_262F_4932_80D5_D47443835FA2_.wvu.Rows" localSheetId="5" hidden="1">PA!$27:$40</definedName>
    <definedName name="Z_667EEF7A_262F_4932_80D5_D47443835FA2_.wvu.Rows" localSheetId="10" hidden="1">'ขายรายเดือน 1'!$1:$2,'ขายรายเดือน 1'!#REF!,'ขายรายเดือน 1'!$77:$129</definedName>
    <definedName name="Z_667EEF7A_262F_4932_80D5_D47443835FA2_.wvu.Rows" localSheetId="11" hidden="1">'ขายรายเดือน 2'!$1:$5,'ขายรายเดือน 2'!#REF!,'ขายรายเดือน 2'!$28:$80</definedName>
    <definedName name="Z_667EEF7A_262F_4932_80D5_D47443835FA2_.wvu.Rows" localSheetId="12" hidden="1">'ขายรายเดือน 3'!$1:$1,'ขายรายเดือน 3'!#REF!,'ขายรายเดือน 3'!$43:$95</definedName>
    <definedName name="Z_6CD1CFFF_F92E_4BC0_95E0_2159774AFFA6_.wvu.PrintArea" localSheetId="1" hidden="1">โครงสร้างตัวแทน!$B$28:$G$50</definedName>
    <definedName name="Z_6CD1CFFF_F92E_4BC0_95E0_2159774AFFA6_.wvu.PrintArea" localSheetId="3" hidden="1">รายได้!#REF!</definedName>
    <definedName name="Z_6CD1CFFF_F92E_4BC0_95E0_2159774AFFA6_.wvu.Rows" localSheetId="1" hidden="1">โครงสร้างตัวแทน!$1:$1</definedName>
    <definedName name="Z_82B311FB_57F0_41B4_A7C3_5882014D86A1_.wvu.Cols" localSheetId="0" hidden="1">COM!$A:$U</definedName>
    <definedName name="Z_82B311FB_57F0_41B4_A7C3_5882014D86A1_.wvu.Cols" localSheetId="5" hidden="1">PA!$AA:$AF</definedName>
    <definedName name="Z_82B311FB_57F0_41B4_A7C3_5882014D86A1_.wvu.Cols" localSheetId="4" hidden="1">TIME!$AC:$AC</definedName>
    <definedName name="Z_82B311FB_57F0_41B4_A7C3_5882014D86A1_.wvu.Cols" localSheetId="10" hidden="1">'ขายรายเดือน 1'!$X:$AJ</definedName>
    <definedName name="Z_82B311FB_57F0_41B4_A7C3_5882014D86A1_.wvu.Cols" localSheetId="3" hidden="1">รายได้!$AA:$BH</definedName>
    <definedName name="Z_82B311FB_57F0_41B4_A7C3_5882014D86A1_.wvu.PrintArea" localSheetId="8" hidden="1">'COM10'!$B$2:$M$27</definedName>
    <definedName name="Z_82B311FB_57F0_41B4_A7C3_5882014D86A1_.wvu.PrintArea" localSheetId="9" hidden="1">'COM5'!$A$1:$P$30</definedName>
    <definedName name="Z_82B311FB_57F0_41B4_A7C3_5882014D86A1_.wvu.PrintArea" localSheetId="6" hidden="1">Life!$A$1:$Q$15</definedName>
    <definedName name="Z_82B311FB_57F0_41B4_A7C3_5882014D86A1_.wvu.PrintArea" localSheetId="5" hidden="1">PA!$A$1:$Q$23</definedName>
    <definedName name="Z_82B311FB_57F0_41B4_A7C3_5882014D86A1_.wvu.PrintArea" localSheetId="7" hidden="1">'PA&amp;Life'!$A$1:$O$20</definedName>
    <definedName name="Z_82B311FB_57F0_41B4_A7C3_5882014D86A1_.wvu.PrintArea" localSheetId="4" hidden="1">TIME!$A$1:$U$16</definedName>
    <definedName name="Z_82B311FB_57F0_41B4_A7C3_5882014D86A1_.wvu.PrintArea" localSheetId="10" hidden="1">'ขายรายเดือน 1'!$A$1:$U$73</definedName>
    <definedName name="Z_82B311FB_57F0_41B4_A7C3_5882014D86A1_.wvu.PrintArea" localSheetId="11" hidden="1">'ขายรายเดือน 2'!$A$1:$J$25</definedName>
    <definedName name="Z_82B311FB_57F0_41B4_A7C3_5882014D86A1_.wvu.PrintArea" localSheetId="12" hidden="1">'ขายรายเดือน 3'!$A$1:$U$39</definedName>
    <definedName name="Z_82B311FB_57F0_41B4_A7C3_5882014D86A1_.wvu.PrintArea" localSheetId="1" hidden="1">โครงสร้างตัวแทน!$B$3:$F$50</definedName>
    <definedName name="Z_82B311FB_57F0_41B4_A7C3_5882014D86A1_.wvu.PrintArea" localSheetId="2" hidden="1">โครงสร้างรายได้!$A$1:$I$15</definedName>
    <definedName name="Z_82B311FB_57F0_41B4_A7C3_5882014D86A1_.wvu.PrintArea" localSheetId="3" hidden="1">รายได้!$B$2:$L$35</definedName>
    <definedName name="Z_82B311FB_57F0_41B4_A7C3_5882014D86A1_.wvu.PrintArea" localSheetId="13" hidden="1">รายได้ตัวแทน!$B$2:$M$31</definedName>
    <definedName name="Z_82B311FB_57F0_41B4_A7C3_5882014D86A1_.wvu.PrintArea" localSheetId="14" hidden="1">'รายได้ตัวแทน 5 ปี'!$B$2:$M$21</definedName>
    <definedName name="Z_82B311FB_57F0_41B4_A7C3_5882014D86A1_.wvu.Rows" localSheetId="10" hidden="1">'ขายรายเดือน 1'!$1:$1</definedName>
    <definedName name="Z_82B311FB_57F0_41B4_A7C3_5882014D86A1_.wvu.Rows" localSheetId="1" hidden="1">โครงสร้างตัวแทน!$1:$1</definedName>
    <definedName name="Z_B09EEEFA_DC7E_4C7E_B4B6_22C856F7F00B_.wvu.PrintArea" localSheetId="1" hidden="1">โครงสร้างตัวแทน!$A$27:$G$50</definedName>
    <definedName name="Z_B09EEEFA_DC7E_4C7E_B4B6_22C856F7F00B_.wvu.Rows" localSheetId="1" hidden="1">โครงสร้างตัวแทน!$1:$1</definedName>
    <definedName name="Z_E63B6B88_B7FF_47AA_8968_FC666ED34DCC_.wvu.PrintArea" localSheetId="1" hidden="1">โครงสร้างตัวแทน!$B$3:$F$50</definedName>
    <definedName name="Z_E63B6B88_B7FF_47AA_8968_FC666ED34DCC_.wvu.Rows" localSheetId="1" hidden="1">โครงสร้างตัวแทน!$1:$1</definedName>
  </definedNames>
  <calcPr calcId="191028"/>
  <customWorkbookViews>
    <customWorkbookView name="Best - มุมมองส่วนบุคคล" guid="{82B311FB-57F0-41B4-A7C3-5882014D86A1}" mergeInterval="0" personalView="1" maximized="1" xWindow="-9" yWindow="-9" windowWidth="1938" windowHeight="1038" tabRatio="898" activeSheetId="11"/>
    <customWorkbookView name="STOMER - มุมมองส่วนบุคคล" guid="{5CD23BB7-2785-4476-8463-E6A82DD3A526}" mergeInterval="0" personalView="1" maximized="1" windowWidth="1020" windowHeight="546" tabRatio="443" activeSheetId="5"/>
    <customWorkbookView name="sdu - Personal View" guid="{8F119C7B-16F0-4642-9523-8D5688C94193}" mergeInterval="0" personalView="1" maximized="1" windowWidth="1020" windowHeight="622" tabRatio="820" activeSheetId="1"/>
    <customWorkbookView name="iLLuSioN - มุมมองส่วนบุคคล" guid="{B9890928-02F5-480C-8846-1942D6B80660}" mergeInterval="0" personalView="1" maximized="1" windowWidth="1020" windowHeight="569" tabRatio="683" activeSheetId="1"/>
    <customWorkbookView name="sKzXPJune07 - Personal View" guid="{9CED811C-9D8D-40BF-B233-79053C763670}" mergeInterval="0" personalView="1" maximized="1" windowWidth="1020" windowHeight="597" tabRatio="820" activeSheetId="23"/>
    <customWorkbookView name="Guuruu - มุมมองส่วนบุคคล" guid="{667EEF7A-262F-4932-80D5-D47443835FA2}" mergeInterval="0" personalView="1" maximized="1" xWindow="1" yWindow="1" windowWidth="1362" windowHeight="548" tabRatio="886" activeSheetId="5"/>
    <customWorkbookView name="God - มุมมองส่วนบุคคล" guid="{00AC2CC8-9B9F-4979-A039-643E7B67D066}" mergeInterval="0" personalView="1" maximized="1" xWindow="-9" yWindow="-9" windowWidth="1938" windowHeight="1048" tabRatio="884" activeSheetId="11" showComments="commIndAndComment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5" l="1"/>
  <c r="H8" i="14"/>
  <c r="D23" i="9"/>
  <c r="B11" i="3"/>
  <c r="C11" i="3"/>
  <c r="Y23" i="11"/>
  <c r="Y22" i="11"/>
  <c r="Y20" i="11"/>
  <c r="Z19" i="11"/>
  <c r="Y19" i="11"/>
  <c r="S19" i="11"/>
  <c r="G12" i="3"/>
  <c r="H12" i="3"/>
  <c r="F12" i="3"/>
  <c r="E12" i="3"/>
  <c r="L11" i="4"/>
  <c r="J11" i="4"/>
  <c r="H11" i="4"/>
  <c r="F1" i="1"/>
  <c r="Q3" i="9"/>
  <c r="B20" i="9"/>
  <c r="E1" i="1"/>
  <c r="S2" i="15"/>
  <c r="B1" i="1"/>
  <c r="B11" i="1"/>
  <c r="J7" i="15"/>
  <c r="C25" i="9"/>
  <c r="J7" i="14"/>
  <c r="E5" i="11"/>
  <c r="S2" i="14"/>
  <c r="P3" i="15"/>
  <c r="AO3" i="11"/>
  <c r="B7" i="11"/>
  <c r="S2" i="9"/>
  <c r="U2" i="10"/>
  <c r="S4" i="10"/>
  <c r="O2" i="10"/>
  <c r="P4" i="14"/>
  <c r="AM5" i="11"/>
  <c r="B10" i="11"/>
  <c r="L3" i="14"/>
  <c r="M4" i="3"/>
  <c r="I2" i="3"/>
  <c r="O3" i="3"/>
  <c r="B3" i="1"/>
  <c r="B2" i="1"/>
  <c r="B10" i="1"/>
  <c r="B9" i="1"/>
  <c r="B8" i="1"/>
  <c r="B7" i="1"/>
  <c r="B6" i="1"/>
  <c r="B5" i="1"/>
  <c r="B4" i="1"/>
  <c r="D18" i="12"/>
  <c r="D8" i="12"/>
  <c r="H11" i="5"/>
  <c r="H12" i="5"/>
  <c r="C12" i="5"/>
  <c r="C13" i="5"/>
  <c r="C11" i="5"/>
  <c r="H14" i="5"/>
  <c r="D6" i="6"/>
  <c r="AE20" i="6"/>
  <c r="AE19" i="6"/>
  <c r="AE18" i="6"/>
  <c r="AE17" i="6"/>
  <c r="AE16" i="6"/>
  <c r="AE15" i="6"/>
  <c r="AE14" i="6"/>
  <c r="AE13" i="6"/>
  <c r="AE12" i="6"/>
  <c r="AE4" i="6"/>
  <c r="AE5" i="6"/>
  <c r="AE6" i="6"/>
  <c r="AE7" i="6"/>
  <c r="AE8" i="6"/>
  <c r="AE9" i="6"/>
  <c r="AE10" i="6"/>
  <c r="AE11" i="6"/>
  <c r="L3" i="15"/>
  <c r="H13" i="5"/>
  <c r="M11" i="5"/>
  <c r="S27" i="11"/>
  <c r="S11" i="13"/>
  <c r="S20" i="11"/>
  <c r="S4" i="13"/>
  <c r="S3" i="11"/>
  <c r="S1" i="11"/>
  <c r="E4" i="11"/>
  <c r="D7" i="12"/>
  <c r="E3" i="11"/>
  <c r="D6" i="12"/>
  <c r="D9" i="12"/>
  <c r="D10" i="12"/>
  <c r="C26" i="9"/>
  <c r="M20" i="10"/>
  <c r="T23" i="10"/>
  <c r="T20" i="10"/>
  <c r="T21" i="10"/>
  <c r="T19" i="10"/>
  <c r="K3" i="9"/>
  <c r="C3" i="9"/>
  <c r="T7" i="10"/>
  <c r="F22" i="10"/>
  <c r="C14" i="10"/>
  <c r="M6" i="7"/>
  <c r="M8" i="7"/>
  <c r="E11" i="7"/>
  <c r="H7" i="7"/>
  <c r="E7" i="7"/>
  <c r="E3" i="7"/>
  <c r="E4" i="7"/>
  <c r="C23" i="9"/>
  <c r="M3" i="15"/>
  <c r="H7" i="15"/>
  <c r="M3" i="14"/>
  <c r="H7" i="14"/>
  <c r="I24" i="9"/>
  <c r="J24" i="9"/>
  <c r="K24" i="9"/>
  <c r="L24" i="9"/>
  <c r="M24" i="9"/>
  <c r="G24" i="9"/>
  <c r="F24" i="9"/>
  <c r="H24" i="9"/>
  <c r="F17" i="10"/>
  <c r="B14" i="11"/>
  <c r="F13" i="10"/>
  <c r="F14" i="10"/>
  <c r="Z33" i="11"/>
  <c r="Z51" i="11"/>
  <c r="Z42" i="11"/>
  <c r="Y18" i="11"/>
  <c r="I22" i="14"/>
  <c r="I17" i="14"/>
  <c r="I13" i="14"/>
  <c r="I16" i="15"/>
  <c r="I14" i="15"/>
  <c r="I12" i="15"/>
  <c r="B13" i="3"/>
  <c r="K27" i="4"/>
  <c r="I27" i="4"/>
  <c r="G27" i="4"/>
  <c r="C8" i="15"/>
  <c r="S70" i="11"/>
  <c r="L13" i="11"/>
  <c r="S61" i="11"/>
  <c r="K13" i="11"/>
  <c r="S52" i="11"/>
  <c r="S43" i="11"/>
  <c r="S35" i="11"/>
  <c r="S28" i="11"/>
  <c r="G12" i="11"/>
  <c r="E18" i="12"/>
  <c r="J13" i="11"/>
  <c r="H19" i="12"/>
  <c r="S36" i="13"/>
  <c r="G13" i="11"/>
  <c r="E19" i="12"/>
  <c r="S12" i="13"/>
  <c r="H13" i="11"/>
  <c r="F19" i="12"/>
  <c r="S19" i="13"/>
  <c r="I13" i="11"/>
  <c r="G19" i="12"/>
  <c r="S27" i="13"/>
  <c r="C14" i="15"/>
  <c r="C16" i="15"/>
  <c r="C10" i="15"/>
  <c r="C12" i="15"/>
  <c r="P2" i="15"/>
  <c r="D4" i="15"/>
  <c r="C18" i="9"/>
  <c r="C17" i="9"/>
  <c r="C16" i="9"/>
  <c r="Q5" i="11"/>
  <c r="R5" i="11"/>
  <c r="B7" i="3"/>
  <c r="C13" i="9"/>
  <c r="B9" i="3"/>
  <c r="C15" i="9"/>
  <c r="B5" i="3"/>
  <c r="C11" i="9"/>
  <c r="B8" i="3"/>
  <c r="C14" i="9"/>
  <c r="B6" i="3"/>
  <c r="C12" i="9"/>
  <c r="M21" i="10"/>
  <c r="B4" i="7"/>
  <c r="A15" i="5"/>
  <c r="E11" i="14"/>
  <c r="E18" i="14"/>
  <c r="E14" i="14"/>
  <c r="E23" i="14"/>
  <c r="E10" i="15"/>
  <c r="F10" i="15"/>
  <c r="L5" i="11"/>
  <c r="E20" i="14"/>
  <c r="E14" i="15"/>
  <c r="F14" i="15"/>
  <c r="N5" i="11"/>
  <c r="E25" i="14"/>
  <c r="E10" i="14"/>
  <c r="E17" i="14"/>
  <c r="E13" i="14"/>
  <c r="E8" i="15"/>
  <c r="K5" i="11"/>
  <c r="E8" i="14"/>
  <c r="E22" i="14"/>
  <c r="E16" i="15"/>
  <c r="F16" i="15"/>
  <c r="O5" i="11"/>
  <c r="E26" i="14"/>
  <c r="M5" i="11"/>
  <c r="E12" i="15"/>
  <c r="F12" i="15"/>
  <c r="E24" i="14"/>
  <c r="E19" i="14"/>
  <c r="E15" i="14"/>
  <c r="M14" i="10"/>
  <c r="P2" i="14"/>
  <c r="D4" i="14"/>
  <c r="AM3" i="11"/>
  <c r="Q3" i="8"/>
  <c r="S2" i="10"/>
  <c r="Q2" i="9"/>
  <c r="M3" i="3"/>
  <c r="B1" i="3"/>
  <c r="G4" i="12"/>
  <c r="F4" i="12"/>
  <c r="H4" i="12"/>
  <c r="I4" i="12"/>
  <c r="B4" i="12"/>
  <c r="E4" i="12"/>
  <c r="M17" i="10"/>
  <c r="M13" i="10"/>
  <c r="M16" i="10"/>
  <c r="M15" i="10"/>
  <c r="C4" i="3"/>
  <c r="D4" i="3"/>
  <c r="E4" i="3"/>
  <c r="F4" i="3"/>
  <c r="G4" i="3"/>
  <c r="H4" i="3"/>
  <c r="I6" i="6"/>
  <c r="D6" i="3"/>
  <c r="I6" i="3"/>
  <c r="G9" i="3"/>
  <c r="I9" i="3"/>
  <c r="F8" i="3"/>
  <c r="I8" i="3"/>
  <c r="E7" i="3"/>
  <c r="I7" i="3"/>
  <c r="C5" i="3"/>
  <c r="F15" i="3"/>
  <c r="H15" i="3"/>
  <c r="C13" i="3"/>
  <c r="I13" i="3"/>
  <c r="C14" i="3"/>
  <c r="I14" i="3"/>
  <c r="G15" i="3"/>
  <c r="B10" i="3"/>
  <c r="I5" i="3"/>
  <c r="D15" i="3"/>
  <c r="C10" i="3"/>
  <c r="I10" i="3"/>
  <c r="I11" i="3"/>
  <c r="I12" i="3"/>
  <c r="E15" i="3"/>
  <c r="G6" i="4"/>
  <c r="I6" i="4"/>
  <c r="K6" i="4"/>
  <c r="G9" i="4"/>
  <c r="I9" i="4"/>
  <c r="K9" i="4"/>
  <c r="G10" i="4"/>
  <c r="I10" i="4"/>
  <c r="K10" i="4"/>
  <c r="I8" i="4"/>
  <c r="K8" i="4"/>
  <c r="G8" i="4"/>
  <c r="C15" i="3"/>
  <c r="I15" i="3"/>
  <c r="K7" i="4"/>
  <c r="I7" i="4"/>
  <c r="G7" i="4"/>
  <c r="H12" i="4"/>
  <c r="L12" i="4"/>
  <c r="J12" i="4"/>
  <c r="K17" i="4"/>
  <c r="K26" i="4"/>
  <c r="I17" i="4"/>
  <c r="I26" i="4"/>
  <c r="G26" i="4"/>
  <c r="G17" i="4"/>
  <c r="C5" i="4"/>
  <c r="L8" i="4"/>
  <c r="H8" i="4"/>
  <c r="L7" i="4"/>
  <c r="H7" i="4"/>
  <c r="H9" i="4"/>
  <c r="J10" i="4"/>
  <c r="J9" i="4"/>
  <c r="J8" i="4"/>
  <c r="J7" i="4"/>
  <c r="J6" i="4"/>
  <c r="H6" i="4"/>
  <c r="L6" i="4"/>
  <c r="L10" i="4"/>
  <c r="H10" i="4"/>
  <c r="L9" i="4"/>
  <c r="G5" i="4"/>
  <c r="L28" i="4"/>
  <c r="L17" i="4"/>
  <c r="K13" i="4"/>
  <c r="L13" i="4"/>
  <c r="L27" i="4"/>
  <c r="J28" i="4"/>
  <c r="J17" i="4"/>
  <c r="I13" i="4"/>
  <c r="J13" i="4"/>
  <c r="J27" i="4"/>
  <c r="G13" i="4"/>
  <c r="H13" i="4"/>
  <c r="H17" i="4"/>
  <c r="H28" i="4"/>
  <c r="H27" i="4"/>
  <c r="AQ12" i="4"/>
  <c r="AS12" i="4"/>
  <c r="AT12" i="4"/>
  <c r="AU12" i="4"/>
  <c r="AV12" i="4"/>
  <c r="BA6" i="4"/>
  <c r="BC6" i="4"/>
  <c r="BD6" i="4"/>
  <c r="BE6" i="4"/>
  <c r="AG9" i="4"/>
  <c r="AI9" i="4"/>
  <c r="AJ9" i="4"/>
  <c r="AK9" i="4"/>
  <c r="AL9" i="4"/>
  <c r="AQ6" i="4"/>
  <c r="AS6" i="4"/>
  <c r="AT6" i="4"/>
  <c r="AU6" i="4"/>
  <c r="AQ9" i="4"/>
  <c r="AS9" i="4"/>
  <c r="AT9" i="4"/>
  <c r="AU9" i="4"/>
  <c r="AV9" i="4"/>
  <c r="AQ16" i="4"/>
  <c r="AS16" i="4"/>
  <c r="AT16" i="4"/>
  <c r="AU16" i="4"/>
  <c r="AV16" i="4"/>
  <c r="AX16" i="4"/>
  <c r="BA9" i="4"/>
  <c r="BC9" i="4"/>
  <c r="BD9" i="4"/>
  <c r="BE9" i="4"/>
  <c r="BF9" i="4"/>
  <c r="AG7" i="4"/>
  <c r="AI7" i="4"/>
  <c r="AJ7" i="4"/>
  <c r="AK7" i="4"/>
  <c r="AL7" i="4"/>
  <c r="I5" i="4"/>
  <c r="BA16" i="4"/>
  <c r="BC16" i="4"/>
  <c r="BD16" i="4"/>
  <c r="BE16" i="4"/>
  <c r="BF16" i="4"/>
  <c r="BA11" i="4"/>
  <c r="BC11" i="4"/>
  <c r="BD11" i="4"/>
  <c r="BE11" i="4"/>
  <c r="BF11" i="4"/>
  <c r="AG16" i="4"/>
  <c r="AI16" i="4"/>
  <c r="AJ16" i="4"/>
  <c r="AK16" i="4"/>
  <c r="AL16" i="4"/>
  <c r="BA7" i="4"/>
  <c r="BC7" i="4"/>
  <c r="BD7" i="4"/>
  <c r="BE7" i="4"/>
  <c r="BF7" i="4"/>
  <c r="AG12" i="4"/>
  <c r="AI12" i="4"/>
  <c r="AJ12" i="4"/>
  <c r="AK12" i="4"/>
  <c r="AL12" i="4"/>
  <c r="AQ7" i="4"/>
  <c r="AS7" i="4"/>
  <c r="AT7" i="4"/>
  <c r="AU7" i="4"/>
  <c r="AV7" i="4"/>
  <c r="AQ11" i="4"/>
  <c r="AS11" i="4"/>
  <c r="AT11" i="4"/>
  <c r="AU11" i="4"/>
  <c r="AV11" i="4"/>
  <c r="K5" i="4"/>
  <c r="BA12" i="4"/>
  <c r="BC12" i="4"/>
  <c r="BD12" i="4"/>
  <c r="BE12" i="4"/>
  <c r="BF12" i="4"/>
  <c r="BA17" i="4"/>
  <c r="BC17" i="4"/>
  <c r="BD17" i="4"/>
  <c r="BE17" i="4"/>
  <c r="BF17" i="4"/>
  <c r="AQ8" i="4"/>
  <c r="AS8" i="4"/>
  <c r="AT8" i="4"/>
  <c r="AU8" i="4"/>
  <c r="AV8" i="4"/>
  <c r="AQ10" i="4"/>
  <c r="AS10" i="4"/>
  <c r="AT10" i="4"/>
  <c r="AU10" i="4"/>
  <c r="AV10" i="4"/>
  <c r="AG10" i="4"/>
  <c r="AI10" i="4"/>
  <c r="AJ10" i="4"/>
  <c r="AK10" i="4"/>
  <c r="AG11" i="4"/>
  <c r="AI11" i="4"/>
  <c r="AJ11" i="4"/>
  <c r="AK11" i="4"/>
  <c r="AL11" i="4"/>
  <c r="BA10" i="4"/>
  <c r="BC10" i="4"/>
  <c r="BD10" i="4"/>
  <c r="BE10" i="4"/>
  <c r="BF10" i="4"/>
  <c r="AG6" i="4"/>
  <c r="AI6" i="4"/>
  <c r="AJ6" i="4"/>
  <c r="AK6" i="4"/>
  <c r="AN6" i="4"/>
  <c r="AG8" i="4"/>
  <c r="AI8" i="4"/>
  <c r="AJ8" i="4"/>
  <c r="AK8" i="4"/>
  <c r="AL8" i="4"/>
  <c r="AG17" i="4"/>
  <c r="AI17" i="4"/>
  <c r="AJ17" i="4"/>
  <c r="AK17" i="4"/>
  <c r="AL17" i="4"/>
  <c r="BA8" i="4"/>
  <c r="BC8" i="4"/>
  <c r="BD8" i="4"/>
  <c r="BE8" i="4"/>
  <c r="BF8" i="4"/>
  <c r="AQ17" i="4"/>
  <c r="AS17" i="4"/>
  <c r="AT17" i="4"/>
  <c r="AU17" i="4"/>
  <c r="AV17" i="4"/>
  <c r="AN10" i="4"/>
  <c r="AN8" i="4"/>
  <c r="AN11" i="4"/>
  <c r="AN16" i="4"/>
  <c r="AN9" i="4"/>
  <c r="AN7" i="4"/>
  <c r="AN12" i="4"/>
  <c r="AN17" i="4"/>
  <c r="BH11" i="4"/>
  <c r="BH10" i="4"/>
  <c r="BH9" i="4"/>
  <c r="BH6" i="4"/>
  <c r="BH16" i="4"/>
  <c r="BH7" i="4"/>
  <c r="BH8" i="4"/>
  <c r="BH17" i="4"/>
  <c r="BH12" i="4"/>
  <c r="AX6" i="4"/>
  <c r="AX10" i="4"/>
  <c r="AX8" i="4"/>
  <c r="AX9" i="4"/>
  <c r="AX7" i="4"/>
  <c r="AX11" i="4"/>
  <c r="AX12" i="4"/>
  <c r="G29" i="4"/>
  <c r="I29" i="4"/>
  <c r="K29" i="4"/>
  <c r="BF6" i="4"/>
  <c r="AV6" i="4"/>
  <c r="AJ23" i="4"/>
  <c r="AL10" i="4"/>
  <c r="BD23" i="4"/>
  <c r="AL6" i="4"/>
  <c r="AX17" i="4"/>
  <c r="AT23" i="4"/>
  <c r="I3" i="11"/>
  <c r="I4" i="11"/>
  <c r="C8" i="14"/>
  <c r="C20" i="14"/>
  <c r="C5" i="8"/>
  <c r="C25" i="8"/>
  <c r="J5" i="8"/>
  <c r="J25" i="8"/>
  <c r="E22" i="8"/>
  <c r="C27" i="8"/>
  <c r="E5" i="7"/>
  <c r="D8" i="9"/>
  <c r="D9" i="9"/>
  <c r="E24" i="7"/>
  <c r="E28" i="7"/>
  <c r="H28" i="7"/>
  <c r="L3" i="6"/>
  <c r="L4" i="6"/>
  <c r="G6" i="6"/>
  <c r="C6" i="6"/>
  <c r="G8" i="6"/>
  <c r="L8" i="6"/>
  <c r="N8" i="6"/>
  <c r="L9" i="6"/>
  <c r="F20" i="6"/>
  <c r="D3" i="5"/>
  <c r="H3" i="5"/>
  <c r="L3" i="5"/>
  <c r="M3" i="5"/>
  <c r="O3" i="5"/>
  <c r="D4" i="5"/>
  <c r="H4" i="5"/>
  <c r="L4" i="5"/>
  <c r="A5" i="5"/>
  <c r="B8" i="5"/>
  <c r="B7" i="5"/>
  <c r="M9" i="5"/>
  <c r="S11" i="5"/>
  <c r="T11" i="5"/>
  <c r="K13" i="5"/>
  <c r="Q13" i="5"/>
  <c r="Q11" i="5"/>
  <c r="D27" i="11"/>
  <c r="D20" i="11"/>
  <c r="D26" i="11"/>
  <c r="I7" i="12"/>
  <c r="E20" i="11"/>
  <c r="Z18" i="11"/>
  <c r="K21" i="11"/>
  <c r="I6" i="12"/>
  <c r="H3" i="6"/>
  <c r="H4" i="6"/>
  <c r="H6" i="6"/>
  <c r="G19" i="11"/>
  <c r="G3" i="13"/>
  <c r="F15" i="10"/>
  <c r="F16" i="10"/>
  <c r="F20" i="10"/>
  <c r="C5" i="10"/>
  <c r="G20" i="11"/>
  <c r="AB18" i="11"/>
  <c r="F20" i="11"/>
  <c r="AA18" i="11"/>
  <c r="L10" i="6"/>
  <c r="I8" i="8"/>
  <c r="N11" i="6"/>
  <c r="E25" i="7"/>
  <c r="E32" i="7"/>
  <c r="L17" i="6"/>
  <c r="L13" i="6"/>
  <c r="N16" i="6"/>
  <c r="I9" i="5"/>
  <c r="S13" i="5"/>
  <c r="M14" i="5"/>
  <c r="C9" i="5"/>
  <c r="I8" i="5"/>
  <c r="N12" i="6"/>
  <c r="E8" i="5"/>
  <c r="N18" i="6"/>
  <c r="N14" i="6"/>
  <c r="N10" i="6"/>
  <c r="N17" i="6"/>
  <c r="N13" i="6"/>
  <c r="N9" i="6"/>
  <c r="D4" i="8"/>
  <c r="D24" i="8"/>
  <c r="D19" i="11"/>
  <c r="D3" i="13"/>
  <c r="I50" i="11"/>
  <c r="AD50" i="11"/>
  <c r="G67" i="11"/>
  <c r="H32" i="11"/>
  <c r="H16" i="13"/>
  <c r="L49" i="11"/>
  <c r="L33" i="13"/>
  <c r="K67" i="11"/>
  <c r="M32" i="11"/>
  <c r="M16" i="13"/>
  <c r="J58" i="11"/>
  <c r="M40" i="11"/>
  <c r="M24" i="13"/>
  <c r="D25" i="11"/>
  <c r="D9" i="13"/>
  <c r="N58" i="11"/>
  <c r="K41" i="11"/>
  <c r="AF41" i="11"/>
  <c r="J25" i="11"/>
  <c r="J9" i="13"/>
  <c r="O67" i="11"/>
  <c r="M59" i="11"/>
  <c r="AH59" i="11"/>
  <c r="J51" i="11"/>
  <c r="D49" i="11"/>
  <c r="D33" i="13"/>
  <c r="G34" i="11"/>
  <c r="O25" i="11"/>
  <c r="O9" i="13"/>
  <c r="J19" i="11"/>
  <c r="J3" i="13"/>
  <c r="O68" i="11"/>
  <c r="AJ68" i="11"/>
  <c r="N60" i="11"/>
  <c r="N70" i="11"/>
  <c r="F58" i="11"/>
  <c r="H49" i="11"/>
  <c r="H33" i="13"/>
  <c r="H40" i="11"/>
  <c r="H24" i="13"/>
  <c r="O27" i="11"/>
  <c r="O19" i="11"/>
  <c r="O3" i="13"/>
  <c r="H68" i="11"/>
  <c r="AC68" i="11"/>
  <c r="J67" i="11"/>
  <c r="H60" i="11"/>
  <c r="H70" i="11"/>
  <c r="M58" i="11"/>
  <c r="E58" i="11"/>
  <c r="O49" i="11"/>
  <c r="O33" i="13"/>
  <c r="G49" i="11"/>
  <c r="G33" i="13"/>
  <c r="N40" i="11"/>
  <c r="N24" i="13"/>
  <c r="D40" i="11"/>
  <c r="D24" i="13"/>
  <c r="L32" i="11"/>
  <c r="L16" i="13"/>
  <c r="O26" i="11"/>
  <c r="AJ25" i="11"/>
  <c r="F25" i="11"/>
  <c r="F9" i="13"/>
  <c r="N19" i="11"/>
  <c r="N3" i="13"/>
  <c r="I69" i="11"/>
  <c r="N67" i="11"/>
  <c r="F67" i="11"/>
  <c r="E59" i="11"/>
  <c r="Z59" i="11"/>
  <c r="I58" i="11"/>
  <c r="O50" i="11"/>
  <c r="AJ50" i="11"/>
  <c r="K49" i="11"/>
  <c r="K33" i="13"/>
  <c r="K42" i="11"/>
  <c r="I40" i="11"/>
  <c r="I24" i="13"/>
  <c r="H33" i="11"/>
  <c r="AC32" i="11"/>
  <c r="F32" i="11"/>
  <c r="F16" i="13"/>
  <c r="K25" i="11"/>
  <c r="K9" i="13"/>
  <c r="O20" i="11"/>
  <c r="AJ18" i="11"/>
  <c r="H19" i="11"/>
  <c r="H3" i="13"/>
  <c r="E6" i="7"/>
  <c r="E9" i="7"/>
  <c r="J8" i="8"/>
  <c r="E26" i="7"/>
  <c r="M27" i="7"/>
  <c r="C19" i="14"/>
  <c r="M69" i="11"/>
  <c r="E69" i="11"/>
  <c r="K68" i="11"/>
  <c r="AF68" i="11"/>
  <c r="D68" i="11"/>
  <c r="L67" i="11"/>
  <c r="H67" i="11"/>
  <c r="D67" i="11"/>
  <c r="J60" i="11"/>
  <c r="J70" i="11"/>
  <c r="D60" i="11"/>
  <c r="D70" i="11"/>
  <c r="I59" i="11"/>
  <c r="AD59" i="11"/>
  <c r="O58" i="11"/>
  <c r="K58" i="11"/>
  <c r="G58" i="11"/>
  <c r="N51" i="11"/>
  <c r="G51" i="11"/>
  <c r="M50" i="11"/>
  <c r="AH50" i="11"/>
  <c r="E50" i="11"/>
  <c r="Z50" i="11"/>
  <c r="M49" i="11"/>
  <c r="M33" i="13"/>
  <c r="I49" i="11"/>
  <c r="I33" i="13"/>
  <c r="E49" i="11"/>
  <c r="E33" i="13"/>
  <c r="D42" i="11"/>
  <c r="D41" i="11"/>
  <c r="J40" i="11"/>
  <c r="J24" i="13"/>
  <c r="E40" i="11"/>
  <c r="E24" i="13"/>
  <c r="M34" i="11"/>
  <c r="O33" i="11"/>
  <c r="AJ32" i="11"/>
  <c r="N32" i="11"/>
  <c r="N16" i="13"/>
  <c r="I32" i="11"/>
  <c r="I16" i="13"/>
  <c r="D32" i="11"/>
  <c r="D16" i="13"/>
  <c r="H27" i="11"/>
  <c r="I26" i="11"/>
  <c r="AD25" i="11"/>
  <c r="L25" i="11"/>
  <c r="L9" i="13"/>
  <c r="G25" i="11"/>
  <c r="G9" i="13"/>
  <c r="I21" i="11"/>
  <c r="K19" i="11"/>
  <c r="K3" i="13"/>
  <c r="F19" i="11"/>
  <c r="F3" i="13"/>
  <c r="E9" i="5"/>
  <c r="C8" i="5"/>
  <c r="C7" i="5"/>
  <c r="C26" i="14"/>
  <c r="O69" i="11"/>
  <c r="H69" i="11"/>
  <c r="M68" i="11"/>
  <c r="AH68" i="11"/>
  <c r="E68" i="11"/>
  <c r="Z68" i="11"/>
  <c r="M67" i="11"/>
  <c r="I67" i="11"/>
  <c r="E67" i="11"/>
  <c r="M60" i="11"/>
  <c r="M70" i="11"/>
  <c r="E60" i="11"/>
  <c r="E70" i="11"/>
  <c r="J59" i="11"/>
  <c r="D59" i="11"/>
  <c r="L58" i="11"/>
  <c r="H58" i="11"/>
  <c r="D58" i="11"/>
  <c r="O51" i="11"/>
  <c r="I51" i="11"/>
  <c r="N50" i="11"/>
  <c r="AI50" i="11"/>
  <c r="G50" i="11"/>
  <c r="AB50" i="11"/>
  <c r="N49" i="11"/>
  <c r="N33" i="13"/>
  <c r="J49" i="11"/>
  <c r="J33" i="13"/>
  <c r="F49" i="11"/>
  <c r="F33" i="13"/>
  <c r="I42" i="11"/>
  <c r="E41" i="11"/>
  <c r="Z41" i="11"/>
  <c r="L40" i="11"/>
  <c r="L24" i="13"/>
  <c r="F40" i="11"/>
  <c r="F24" i="13"/>
  <c r="D34" i="11"/>
  <c r="G33" i="11"/>
  <c r="AB32" i="11"/>
  <c r="J32" i="11"/>
  <c r="J16" i="13"/>
  <c r="E32" i="11"/>
  <c r="E16" i="13"/>
  <c r="N27" i="11"/>
  <c r="N26" i="11"/>
  <c r="AI25" i="11"/>
  <c r="N25" i="11"/>
  <c r="N9" i="13"/>
  <c r="H25" i="11"/>
  <c r="H9" i="13"/>
  <c r="O21" i="11"/>
  <c r="J20" i="11"/>
  <c r="L19" i="11"/>
  <c r="L3" i="13"/>
  <c r="K69" i="11"/>
  <c r="D69" i="11"/>
  <c r="I68" i="11"/>
  <c r="AD68" i="11"/>
  <c r="I60" i="11"/>
  <c r="I70" i="11"/>
  <c r="N59" i="11"/>
  <c r="AI59" i="11"/>
  <c r="H59" i="11"/>
  <c r="AC59" i="11"/>
  <c r="M51" i="11"/>
  <c r="E51" i="11"/>
  <c r="J50" i="11"/>
  <c r="M41" i="11"/>
  <c r="AH41" i="11"/>
  <c r="L34" i="11"/>
  <c r="M33" i="11"/>
  <c r="AH32" i="11"/>
  <c r="F27" i="11"/>
  <c r="G26" i="11"/>
  <c r="AB25" i="11"/>
  <c r="H21" i="11"/>
  <c r="E8" i="9"/>
  <c r="C23" i="14"/>
  <c r="C18" i="14"/>
  <c r="P9" i="6"/>
  <c r="C22" i="14"/>
  <c r="C15" i="14"/>
  <c r="C14" i="14"/>
  <c r="C10" i="14"/>
  <c r="E9" i="9"/>
  <c r="L16" i="6"/>
  <c r="L12" i="6"/>
  <c r="M28" i="7"/>
  <c r="L15" i="6"/>
  <c r="J4" i="8"/>
  <c r="Q3" i="5"/>
  <c r="L11" i="6"/>
  <c r="N8" i="8"/>
  <c r="L18" i="6"/>
  <c r="N15" i="6"/>
  <c r="L14" i="6"/>
  <c r="C25" i="14"/>
  <c r="C24" i="14"/>
  <c r="C17" i="14"/>
  <c r="C13" i="14"/>
  <c r="C11" i="14"/>
  <c r="L69" i="11"/>
  <c r="G69" i="11"/>
  <c r="L68" i="11"/>
  <c r="AG68" i="11"/>
  <c r="G68" i="11"/>
  <c r="AB68" i="11"/>
  <c r="L60" i="11"/>
  <c r="L70" i="11"/>
  <c r="F60" i="11"/>
  <c r="F70" i="11"/>
  <c r="L59" i="11"/>
  <c r="AG59" i="11"/>
  <c r="F59" i="11"/>
  <c r="AA59" i="11"/>
  <c r="K51" i="11"/>
  <c r="F51" i="11"/>
  <c r="K50" i="11"/>
  <c r="AF50" i="11"/>
  <c r="F50" i="11"/>
  <c r="AA50" i="11"/>
  <c r="M42" i="11"/>
  <c r="E42" i="11"/>
  <c r="O41" i="11"/>
  <c r="AJ41" i="11"/>
  <c r="H41" i="11"/>
  <c r="AC41" i="11"/>
  <c r="O34" i="11"/>
  <c r="H34" i="11"/>
  <c r="I33" i="11"/>
  <c r="AD32" i="11"/>
  <c r="J27" i="11"/>
  <c r="J26" i="11"/>
  <c r="L21" i="11"/>
  <c r="D21" i="11"/>
  <c r="K20" i="11"/>
  <c r="AF18" i="11"/>
  <c r="O42" i="11"/>
  <c r="H42" i="11"/>
  <c r="I41" i="11"/>
  <c r="AD41" i="11"/>
  <c r="I34" i="11"/>
  <c r="L33" i="11"/>
  <c r="AG32" i="11"/>
  <c r="D33" i="11"/>
  <c r="K27" i="11"/>
  <c r="D11" i="13"/>
  <c r="M26" i="11"/>
  <c r="AH25" i="11"/>
  <c r="E26" i="11"/>
  <c r="Z25" i="11"/>
  <c r="M21" i="11"/>
  <c r="G21" i="11"/>
  <c r="M20" i="11"/>
  <c r="AH18" i="11"/>
  <c r="H20" i="11"/>
  <c r="AC18" i="11"/>
  <c r="L20" i="11"/>
  <c r="AG18" i="11"/>
  <c r="F21" i="11"/>
  <c r="J21" i="11"/>
  <c r="N21" i="11"/>
  <c r="H26" i="11"/>
  <c r="AC25" i="11"/>
  <c r="L26" i="11"/>
  <c r="AG25" i="11"/>
  <c r="E27" i="11"/>
  <c r="I27" i="11"/>
  <c r="M27" i="11"/>
  <c r="F33" i="11"/>
  <c r="AA32" i="11"/>
  <c r="J33" i="11"/>
  <c r="N33" i="11"/>
  <c r="AI32" i="11"/>
  <c r="F34" i="11"/>
  <c r="J34" i="11"/>
  <c r="N34" i="11"/>
  <c r="F41" i="11"/>
  <c r="AA41" i="11"/>
  <c r="J41" i="11"/>
  <c r="N41" i="11"/>
  <c r="AI41" i="11"/>
  <c r="F42" i="11"/>
  <c r="J42" i="11"/>
  <c r="N42" i="11"/>
  <c r="I5" i="11"/>
  <c r="I20" i="11"/>
  <c r="AD18" i="11"/>
  <c r="N20" i="11"/>
  <c r="AI18" i="11"/>
  <c r="E21" i="11"/>
  <c r="F26" i="11"/>
  <c r="AA25" i="11"/>
  <c r="K26" i="11"/>
  <c r="AF25" i="11"/>
  <c r="G27" i="11"/>
  <c r="L27" i="11"/>
  <c r="E33" i="11"/>
  <c r="Z32" i="11"/>
  <c r="K33" i="11"/>
  <c r="AF32" i="11"/>
  <c r="E34" i="11"/>
  <c r="K34" i="11"/>
  <c r="G41" i="11"/>
  <c r="AB41" i="11"/>
  <c r="L41" i="11"/>
  <c r="AG41" i="11"/>
  <c r="G42" i="11"/>
  <c r="L42" i="11"/>
  <c r="D50" i="11"/>
  <c r="H50" i="11"/>
  <c r="AC50" i="11"/>
  <c r="L50" i="11"/>
  <c r="AG50" i="11"/>
  <c r="D51" i="11"/>
  <c r="H51" i="11"/>
  <c r="L51" i="11"/>
  <c r="G59" i="11"/>
  <c r="AB59" i="11"/>
  <c r="K59" i="11"/>
  <c r="AF59" i="11"/>
  <c r="O59" i="11"/>
  <c r="AJ59" i="11"/>
  <c r="G60" i="11"/>
  <c r="G70" i="11"/>
  <c r="K60" i="11"/>
  <c r="K70" i="11"/>
  <c r="O60" i="11"/>
  <c r="O70" i="11"/>
  <c r="F68" i="11"/>
  <c r="AA68" i="11"/>
  <c r="J68" i="11"/>
  <c r="N68" i="11"/>
  <c r="AI68" i="11"/>
  <c r="F69" i="11"/>
  <c r="J69" i="11"/>
  <c r="N69" i="11"/>
  <c r="E19" i="11"/>
  <c r="E3" i="13"/>
  <c r="I19" i="11"/>
  <c r="I3" i="13"/>
  <c r="M19" i="11"/>
  <c r="M3" i="13"/>
  <c r="E25" i="11"/>
  <c r="E9" i="13"/>
  <c r="I25" i="11"/>
  <c r="I9" i="13"/>
  <c r="M25" i="11"/>
  <c r="M9" i="13"/>
  <c r="G32" i="11"/>
  <c r="G16" i="13"/>
  <c r="K32" i="11"/>
  <c r="K16" i="13"/>
  <c r="O32" i="11"/>
  <c r="O16" i="13"/>
  <c r="G40" i="11"/>
  <c r="G24" i="13"/>
  <c r="K40" i="11"/>
  <c r="K24" i="13"/>
  <c r="O40" i="11"/>
  <c r="O24" i="13"/>
  <c r="J10" i="13"/>
  <c r="AE25" i="11"/>
  <c r="Z26" i="11"/>
  <c r="J25" i="13"/>
  <c r="AE41" i="11"/>
  <c r="AE18" i="11"/>
  <c r="Y64" i="11"/>
  <c r="Y60" i="11"/>
  <c r="Y59" i="11"/>
  <c r="D17" i="13"/>
  <c r="Y37" i="11"/>
  <c r="Y33" i="11"/>
  <c r="Y32" i="11"/>
  <c r="Z60" i="11"/>
  <c r="AE59" i="11"/>
  <c r="Z69" i="11"/>
  <c r="AE68" i="11"/>
  <c r="J34" i="13"/>
  <c r="AE50" i="11"/>
  <c r="D25" i="13"/>
  <c r="Y46" i="11"/>
  <c r="Y42" i="11"/>
  <c r="S41" i="11"/>
  <c r="Y41" i="11"/>
  <c r="J17" i="13"/>
  <c r="AE32" i="11"/>
  <c r="Y30" i="11"/>
  <c r="Y26" i="11"/>
  <c r="Y25" i="11"/>
  <c r="S22" i="11"/>
  <c r="S6" i="13"/>
  <c r="Y27" i="11"/>
  <c r="Y73" i="11"/>
  <c r="Y69" i="11"/>
  <c r="Y68" i="11"/>
  <c r="D34" i="13"/>
  <c r="Y55" i="11"/>
  <c r="Y50" i="11"/>
  <c r="Y51" i="11"/>
  <c r="D54" i="11"/>
  <c r="D38" i="13"/>
  <c r="D28" i="11"/>
  <c r="D12" i="13"/>
  <c r="D45" i="11"/>
  <c r="D29" i="13"/>
  <c r="D36" i="11"/>
  <c r="D20" i="13"/>
  <c r="D44" i="11"/>
  <c r="D28" i="13"/>
  <c r="D35" i="11"/>
  <c r="D19" i="13"/>
  <c r="G26" i="13"/>
  <c r="G52" i="11"/>
  <c r="G36" i="13"/>
  <c r="G62" i="11"/>
  <c r="D26" i="13"/>
  <c r="D62" i="11"/>
  <c r="D52" i="11"/>
  <c r="D36" i="13"/>
  <c r="M26" i="13"/>
  <c r="M62" i="11"/>
  <c r="M52" i="11"/>
  <c r="M36" i="13"/>
  <c r="G18" i="13"/>
  <c r="G53" i="11"/>
  <c r="G37" i="13"/>
  <c r="G43" i="11"/>
  <c r="G27" i="13"/>
  <c r="N26" i="13"/>
  <c r="N62" i="11"/>
  <c r="N52" i="11"/>
  <c r="N36" i="13"/>
  <c r="I11" i="13"/>
  <c r="I35" i="11"/>
  <c r="I19" i="13"/>
  <c r="I44" i="11"/>
  <c r="I28" i="13"/>
  <c r="L5" i="13"/>
  <c r="L28" i="11"/>
  <c r="L12" i="13"/>
  <c r="L45" i="11"/>
  <c r="L29" i="13"/>
  <c r="L63" i="11"/>
  <c r="L72" i="11"/>
  <c r="L54" i="11"/>
  <c r="L38" i="13"/>
  <c r="L36" i="11"/>
  <c r="L20" i="13"/>
  <c r="F26" i="13"/>
  <c r="F62" i="11"/>
  <c r="F52" i="11"/>
  <c r="F36" i="13"/>
  <c r="F11" i="13"/>
  <c r="F35" i="11"/>
  <c r="F19" i="13"/>
  <c r="F44" i="11"/>
  <c r="F28" i="13"/>
  <c r="O11" i="13"/>
  <c r="O44" i="11"/>
  <c r="O28" i="13"/>
  <c r="O35" i="11"/>
  <c r="O19" i="13"/>
  <c r="J11" i="13"/>
  <c r="J35" i="11"/>
  <c r="J19" i="13"/>
  <c r="J44" i="11"/>
  <c r="J28" i="13"/>
  <c r="E26" i="13"/>
  <c r="E62" i="11"/>
  <c r="E52" i="11"/>
  <c r="E36" i="13"/>
  <c r="O26" i="13"/>
  <c r="O52" i="11"/>
  <c r="O36" i="13"/>
  <c r="O62" i="11"/>
  <c r="M11" i="13"/>
  <c r="M44" i="11"/>
  <c r="M28" i="13"/>
  <c r="M35" i="11"/>
  <c r="M19" i="13"/>
  <c r="O35" i="13"/>
  <c r="O71" i="11"/>
  <c r="O61" i="11"/>
  <c r="J35" i="13"/>
  <c r="J61" i="11"/>
  <c r="J71" i="11"/>
  <c r="J26" i="13"/>
  <c r="J52" i="11"/>
  <c r="J36" i="13"/>
  <c r="J62" i="11"/>
  <c r="L35" i="13"/>
  <c r="L61" i="11"/>
  <c r="L71" i="11"/>
  <c r="E11" i="13"/>
  <c r="E35" i="11"/>
  <c r="E19" i="13"/>
  <c r="E44" i="11"/>
  <c r="E28" i="13"/>
  <c r="K35" i="13"/>
  <c r="K61" i="11"/>
  <c r="K71" i="11"/>
  <c r="K26" i="13"/>
  <c r="K52" i="11"/>
  <c r="K36" i="13"/>
  <c r="K62" i="11"/>
  <c r="H26" i="13"/>
  <c r="H62" i="11"/>
  <c r="H52" i="11"/>
  <c r="H36" i="13"/>
  <c r="N11" i="13"/>
  <c r="N35" i="11"/>
  <c r="N19" i="13"/>
  <c r="N44" i="11"/>
  <c r="N28" i="13"/>
  <c r="G5" i="13"/>
  <c r="G72" i="11"/>
  <c r="G54" i="11"/>
  <c r="G38" i="13"/>
  <c r="G36" i="11"/>
  <c r="G20" i="13"/>
  <c r="G45" i="11"/>
  <c r="G29" i="13"/>
  <c r="G28" i="11"/>
  <c r="G12" i="13"/>
  <c r="G63" i="11"/>
  <c r="I35" i="13"/>
  <c r="I71" i="11"/>
  <c r="I61" i="11"/>
  <c r="K18" i="13"/>
  <c r="K43" i="11"/>
  <c r="K27" i="13"/>
  <c r="K53" i="11"/>
  <c r="K37" i="13"/>
  <c r="M5" i="13"/>
  <c r="M36" i="11"/>
  <c r="M20" i="13"/>
  <c r="M28" i="11"/>
  <c r="M12" i="13"/>
  <c r="M63" i="11"/>
  <c r="M54" i="11"/>
  <c r="M38" i="13"/>
  <c r="M72" i="11"/>
  <c r="M45" i="11"/>
  <c r="M29" i="13"/>
  <c r="H5" i="13"/>
  <c r="H28" i="11"/>
  <c r="H12" i="13"/>
  <c r="H63" i="11"/>
  <c r="H54" i="11"/>
  <c r="H38" i="13"/>
  <c r="H36" i="11"/>
  <c r="H20" i="13"/>
  <c r="H72" i="11"/>
  <c r="H45" i="11"/>
  <c r="H29" i="13"/>
  <c r="H11" i="13"/>
  <c r="H44" i="11"/>
  <c r="H28" i="13"/>
  <c r="H35" i="11"/>
  <c r="H19" i="13"/>
  <c r="E18" i="13"/>
  <c r="E43" i="11"/>
  <c r="E27" i="13"/>
  <c r="E53" i="11"/>
  <c r="E37" i="13"/>
  <c r="F35" i="13"/>
  <c r="F71" i="11"/>
  <c r="F61" i="11"/>
  <c r="D18" i="13"/>
  <c r="D63" i="11"/>
  <c r="D72" i="11"/>
  <c r="D53" i="11"/>
  <c r="D37" i="13"/>
  <c r="D43" i="11"/>
  <c r="D27" i="13"/>
  <c r="H35" i="13"/>
  <c r="H61" i="11"/>
  <c r="H71" i="11"/>
  <c r="G35" i="13"/>
  <c r="G61" i="11"/>
  <c r="G71" i="11"/>
  <c r="D35" i="13"/>
  <c r="D71" i="11"/>
  <c r="D61" i="11"/>
  <c r="L11" i="13"/>
  <c r="L35" i="11"/>
  <c r="L19" i="13"/>
  <c r="L44" i="11"/>
  <c r="L28" i="13"/>
  <c r="K11" i="13"/>
  <c r="K35" i="11"/>
  <c r="K19" i="13"/>
  <c r="K44" i="11"/>
  <c r="K28" i="13"/>
  <c r="L18" i="13"/>
  <c r="L43" i="11"/>
  <c r="L27" i="13"/>
  <c r="L53" i="11"/>
  <c r="L37" i="13"/>
  <c r="N35" i="13"/>
  <c r="N61" i="11"/>
  <c r="N71" i="11"/>
  <c r="G11" i="13"/>
  <c r="G35" i="11"/>
  <c r="G19" i="13"/>
  <c r="G44" i="11"/>
  <c r="G28" i="13"/>
  <c r="N5" i="13"/>
  <c r="N28" i="11"/>
  <c r="N12" i="13"/>
  <c r="N45" i="11"/>
  <c r="N29" i="13"/>
  <c r="N54" i="11"/>
  <c r="N38" i="13"/>
  <c r="N72" i="11"/>
  <c r="N36" i="11"/>
  <c r="N20" i="13"/>
  <c r="N63" i="11"/>
  <c r="H18" i="13"/>
  <c r="H53" i="11"/>
  <c r="H37" i="13"/>
  <c r="H43" i="11"/>
  <c r="H27" i="13"/>
  <c r="O63" i="11"/>
  <c r="O36" i="11"/>
  <c r="O20" i="13"/>
  <c r="O28" i="11"/>
  <c r="O12" i="13"/>
  <c r="O72" i="11"/>
  <c r="O54" i="11"/>
  <c r="O38" i="13"/>
  <c r="O45" i="11"/>
  <c r="O29" i="13"/>
  <c r="I26" i="13"/>
  <c r="I52" i="11"/>
  <c r="I36" i="13"/>
  <c r="I62" i="11"/>
  <c r="M18" i="13"/>
  <c r="M43" i="11"/>
  <c r="M27" i="13"/>
  <c r="M53" i="11"/>
  <c r="M37" i="13"/>
  <c r="N18" i="13"/>
  <c r="N43" i="11"/>
  <c r="N27" i="13"/>
  <c r="N53" i="11"/>
  <c r="N37" i="13"/>
  <c r="J5" i="13"/>
  <c r="J45" i="11"/>
  <c r="J29" i="13"/>
  <c r="J63" i="11"/>
  <c r="J54" i="11"/>
  <c r="J38" i="13"/>
  <c r="J72" i="11"/>
  <c r="J28" i="11"/>
  <c r="J12" i="13"/>
  <c r="J36" i="11"/>
  <c r="J20" i="13"/>
  <c r="O18" i="13"/>
  <c r="O43" i="11"/>
  <c r="O27" i="13"/>
  <c r="O53" i="11"/>
  <c r="O37" i="13"/>
  <c r="J18" i="13"/>
  <c r="J53" i="11"/>
  <c r="J37" i="13"/>
  <c r="J43" i="11"/>
  <c r="J27" i="13"/>
  <c r="F5" i="13"/>
  <c r="F45" i="11"/>
  <c r="F29" i="13"/>
  <c r="F63" i="11"/>
  <c r="F72" i="11"/>
  <c r="F28" i="11"/>
  <c r="F12" i="13"/>
  <c r="F36" i="11"/>
  <c r="F20" i="13"/>
  <c r="F54" i="11"/>
  <c r="F38" i="13"/>
  <c r="I18" i="13"/>
  <c r="I53" i="11"/>
  <c r="I37" i="13"/>
  <c r="I43" i="11"/>
  <c r="I27" i="13"/>
  <c r="E35" i="13"/>
  <c r="E71" i="11"/>
  <c r="E61" i="11"/>
  <c r="K5" i="13"/>
  <c r="K28" i="11"/>
  <c r="K12" i="13"/>
  <c r="K72" i="11"/>
  <c r="K63" i="11"/>
  <c r="K54" i="11"/>
  <c r="K38" i="13"/>
  <c r="K36" i="11"/>
  <c r="K20" i="13"/>
  <c r="K45" i="11"/>
  <c r="K29" i="13"/>
  <c r="L26" i="13"/>
  <c r="L52" i="11"/>
  <c r="L36" i="13"/>
  <c r="L62" i="11"/>
  <c r="E5" i="13"/>
  <c r="E36" i="11"/>
  <c r="E20" i="13"/>
  <c r="E72" i="11"/>
  <c r="E45" i="11"/>
  <c r="E29" i="13"/>
  <c r="E63" i="11"/>
  <c r="E28" i="11"/>
  <c r="E12" i="13"/>
  <c r="E54" i="11"/>
  <c r="E38" i="13"/>
  <c r="F18" i="13"/>
  <c r="F43" i="11"/>
  <c r="F27" i="13"/>
  <c r="F53" i="11"/>
  <c r="F37" i="13"/>
  <c r="M35" i="13"/>
  <c r="M61" i="11"/>
  <c r="M71" i="11"/>
  <c r="I5" i="13"/>
  <c r="I63" i="11"/>
  <c r="I28" i="11"/>
  <c r="I12" i="13"/>
  <c r="I54" i="11"/>
  <c r="I38" i="13"/>
  <c r="I36" i="11"/>
  <c r="I20" i="13"/>
  <c r="I45" i="11"/>
  <c r="I29" i="13"/>
  <c r="I72" i="11"/>
  <c r="O5" i="13"/>
  <c r="I8" i="12"/>
  <c r="I9" i="12"/>
  <c r="I10" i="12"/>
  <c r="D10" i="13"/>
  <c r="J4" i="13"/>
  <c r="Q21" i="11"/>
  <c r="D4" i="13"/>
  <c r="Q20" i="11"/>
  <c r="G25" i="13"/>
  <c r="M4" i="13"/>
  <c r="E4" i="13"/>
  <c r="K4" i="13"/>
  <c r="F34" i="13"/>
  <c r="I10" i="13"/>
  <c r="K17" i="13"/>
  <c r="E10" i="13"/>
  <c r="K34" i="13"/>
  <c r="G17" i="13"/>
  <c r="F4" i="13"/>
  <c r="L10" i="13"/>
  <c r="G10" i="13"/>
  <c r="I34" i="13"/>
  <c r="K10" i="13"/>
  <c r="K25" i="13"/>
  <c r="M25" i="13"/>
  <c r="O34" i="13"/>
  <c r="N4" i="13"/>
  <c r="N17" i="13"/>
  <c r="L4" i="13"/>
  <c r="I25" i="13"/>
  <c r="H25" i="13"/>
  <c r="F17" i="13"/>
  <c r="G34" i="13"/>
  <c r="N34" i="13"/>
  <c r="O4" i="13"/>
  <c r="D5" i="13"/>
  <c r="E17" i="13"/>
  <c r="N25" i="13"/>
  <c r="M10" i="13"/>
  <c r="E34" i="13"/>
  <c r="G4" i="13"/>
  <c r="H10" i="13"/>
  <c r="M34" i="13"/>
  <c r="H17" i="13"/>
  <c r="O10" i="13"/>
  <c r="L34" i="13"/>
  <c r="F25" i="13"/>
  <c r="M17" i="13"/>
  <c r="H34" i="13"/>
  <c r="I17" i="13"/>
  <c r="E25" i="13"/>
  <c r="O17" i="13"/>
  <c r="F10" i="13"/>
  <c r="L17" i="13"/>
  <c r="L25" i="13"/>
  <c r="I4" i="13"/>
  <c r="H4" i="13"/>
  <c r="O25" i="13"/>
  <c r="N10" i="13"/>
  <c r="F21" i="10"/>
  <c r="D5" i="10"/>
  <c r="M4" i="7"/>
  <c r="E27" i="7"/>
  <c r="C4" i="8"/>
  <c r="C24" i="8"/>
  <c r="Q27" i="11"/>
  <c r="Q25" i="11"/>
  <c r="Q9" i="13"/>
  <c r="Q26" i="11"/>
  <c r="M8" i="5"/>
  <c r="E7" i="5"/>
  <c r="I7" i="5"/>
  <c r="Q67" i="11"/>
  <c r="Q49" i="11"/>
  <c r="Q33" i="13"/>
  <c r="Q58" i="11"/>
  <c r="P10" i="6"/>
  <c r="F8" i="9"/>
  <c r="I9" i="8"/>
  <c r="J29" i="8"/>
  <c r="I11" i="8"/>
  <c r="J31" i="8"/>
  <c r="I13" i="8"/>
  <c r="J33" i="8"/>
  <c r="I15" i="8"/>
  <c r="J35" i="8"/>
  <c r="I17" i="8"/>
  <c r="J37" i="8"/>
  <c r="J28" i="8"/>
  <c r="I10" i="8"/>
  <c r="J30" i="8"/>
  <c r="I12" i="8"/>
  <c r="J32" i="8"/>
  <c r="I14" i="8"/>
  <c r="J34" i="8"/>
  <c r="I16" i="8"/>
  <c r="J36" i="8"/>
  <c r="Q19" i="11"/>
  <c r="Q3" i="13"/>
  <c r="Q41" i="11"/>
  <c r="Q25" i="13"/>
  <c r="Q42" i="11"/>
  <c r="Q69" i="11"/>
  <c r="M13" i="5"/>
  <c r="L8" i="8"/>
  <c r="J24" i="8"/>
  <c r="E30" i="7"/>
  <c r="E10" i="7"/>
  <c r="T13" i="5"/>
  <c r="Q32" i="11"/>
  <c r="Q16" i="13"/>
  <c r="Q40" i="11"/>
  <c r="Q24" i="13"/>
  <c r="Q60" i="11"/>
  <c r="Q50" i="11"/>
  <c r="Q34" i="13"/>
  <c r="Q51" i="11"/>
  <c r="Q33" i="11"/>
  <c r="N9" i="8"/>
  <c r="N28" i="8"/>
  <c r="F9" i="9"/>
  <c r="Q68" i="11"/>
  <c r="Q34" i="11"/>
  <c r="Q59" i="11"/>
  <c r="S18" i="11"/>
  <c r="S3" i="13"/>
  <c r="Q17" i="13"/>
  <c r="Q18" i="13"/>
  <c r="Q26" i="13"/>
  <c r="Q10" i="13"/>
  <c r="Q35" i="13"/>
  <c r="Q11" i="13"/>
  <c r="D14" i="12"/>
  <c r="E14" i="12"/>
  <c r="F14" i="12"/>
  <c r="G14" i="12"/>
  <c r="H14" i="12"/>
  <c r="Q5" i="13"/>
  <c r="F9" i="11"/>
  <c r="D15" i="12"/>
  <c r="Q4" i="13"/>
  <c r="S33" i="11"/>
  <c r="S40" i="11"/>
  <c r="S59" i="11"/>
  <c r="K11" i="11"/>
  <c r="S68" i="11"/>
  <c r="L11" i="11"/>
  <c r="S49" i="11"/>
  <c r="S67" i="11"/>
  <c r="L10" i="11"/>
  <c r="S50" i="11"/>
  <c r="S29" i="11"/>
  <c r="S36" i="11"/>
  <c r="F14" i="11"/>
  <c r="D20" i="12"/>
  <c r="S71" i="11"/>
  <c r="L14" i="11"/>
  <c r="S53" i="11"/>
  <c r="S26" i="11"/>
  <c r="S44" i="11"/>
  <c r="S62" i="11"/>
  <c r="K14" i="11"/>
  <c r="S32" i="11"/>
  <c r="S21" i="11"/>
  <c r="S58" i="11"/>
  <c r="K10" i="11"/>
  <c r="S25" i="11"/>
  <c r="E6" i="10"/>
  <c r="F7" i="10"/>
  <c r="Q28" i="11"/>
  <c r="C7" i="6"/>
  <c r="D7" i="6"/>
  <c r="M7" i="5"/>
  <c r="Q61" i="11"/>
  <c r="Q35" i="11"/>
  <c r="Q70" i="11"/>
  <c r="Q52" i="11"/>
  <c r="Q43" i="11"/>
  <c r="P11" i="6"/>
  <c r="G8" i="9"/>
  <c r="G8" i="10"/>
  <c r="H9" i="10"/>
  <c r="C6" i="10"/>
  <c r="F8" i="10"/>
  <c r="J9" i="8"/>
  <c r="I29" i="8"/>
  <c r="J11" i="8"/>
  <c r="I31" i="8"/>
  <c r="I28" i="8"/>
  <c r="J12" i="8"/>
  <c r="I32" i="8"/>
  <c r="J13" i="8"/>
  <c r="I33" i="8"/>
  <c r="J15" i="8"/>
  <c r="I35" i="8"/>
  <c r="J17" i="8"/>
  <c r="I37" i="8"/>
  <c r="J14" i="8"/>
  <c r="I34" i="8"/>
  <c r="J16" i="8"/>
  <c r="I36" i="8"/>
  <c r="J10" i="8"/>
  <c r="I30" i="8"/>
  <c r="N29" i="8"/>
  <c r="N10" i="8"/>
  <c r="Q72" i="11"/>
  <c r="Q62" i="11"/>
  <c r="Q63" i="11"/>
  <c r="L9" i="8"/>
  <c r="L28" i="8"/>
  <c r="Q53" i="11"/>
  <c r="Q37" i="13"/>
  <c r="Q54" i="11"/>
  <c r="Q38" i="13"/>
  <c r="Q45" i="11"/>
  <c r="Q29" i="13"/>
  <c r="Q71" i="11"/>
  <c r="Q36" i="11"/>
  <c r="M25" i="7"/>
  <c r="M3" i="7"/>
  <c r="M24" i="7"/>
  <c r="G9" i="9"/>
  <c r="Q44" i="11"/>
  <c r="Q28" i="13"/>
  <c r="D5" i="8"/>
  <c r="D25" i="8"/>
  <c r="E31" i="7"/>
  <c r="Y35" i="11"/>
  <c r="S34" i="11"/>
  <c r="Y44" i="11"/>
  <c r="S42" i="11"/>
  <c r="S26" i="13"/>
  <c r="Y71" i="11"/>
  <c r="S69" i="11"/>
  <c r="Y53" i="11"/>
  <c r="S51" i="11"/>
  <c r="S35" i="13"/>
  <c r="Y62" i="11"/>
  <c r="S60" i="11"/>
  <c r="G9" i="11"/>
  <c r="E15" i="12"/>
  <c r="Q19" i="13"/>
  <c r="F11" i="11"/>
  <c r="D17" i="12"/>
  <c r="H9" i="11"/>
  <c r="F15" i="12"/>
  <c r="F10" i="11"/>
  <c r="D16" i="12"/>
  <c r="S2" i="13"/>
  <c r="I14" i="11"/>
  <c r="G20" i="12"/>
  <c r="S28" i="13"/>
  <c r="J14" i="11"/>
  <c r="H20" i="12"/>
  <c r="S37" i="13"/>
  <c r="H10" i="11"/>
  <c r="F16" i="12"/>
  <c r="S16" i="13"/>
  <c r="J10" i="11"/>
  <c r="H16" i="12"/>
  <c r="S33" i="13"/>
  <c r="I10" i="11"/>
  <c r="G16" i="12"/>
  <c r="S24" i="13"/>
  <c r="H11" i="11"/>
  <c r="F17" i="12"/>
  <c r="S17" i="13"/>
  <c r="Q27" i="13"/>
  <c r="Q36" i="13"/>
  <c r="G10" i="11"/>
  <c r="E16" i="12"/>
  <c r="S9" i="13"/>
  <c r="H14" i="11"/>
  <c r="F20" i="12"/>
  <c r="S20" i="13"/>
  <c r="G14" i="11"/>
  <c r="E20" i="12"/>
  <c r="S13" i="13"/>
  <c r="F13" i="11"/>
  <c r="S5" i="13"/>
  <c r="Q12" i="13"/>
  <c r="G11" i="11"/>
  <c r="E17" i="12"/>
  <c r="S10" i="13"/>
  <c r="Q20" i="13"/>
  <c r="I11" i="11"/>
  <c r="G17" i="12"/>
  <c r="S25" i="13"/>
  <c r="J11" i="11"/>
  <c r="H17" i="12"/>
  <c r="S34" i="13"/>
  <c r="D8" i="15"/>
  <c r="D14" i="15"/>
  <c r="D8" i="14"/>
  <c r="J9" i="11"/>
  <c r="H15" i="12"/>
  <c r="I9" i="11"/>
  <c r="G15" i="12"/>
  <c r="K9" i="11"/>
  <c r="L9" i="11"/>
  <c r="C8" i="6"/>
  <c r="D8" i="6"/>
  <c r="F10" i="9"/>
  <c r="F11" i="9"/>
  <c r="G10" i="9"/>
  <c r="G11" i="9"/>
  <c r="K10" i="9"/>
  <c r="K11" i="9"/>
  <c r="H10" i="9"/>
  <c r="H11" i="9"/>
  <c r="L10" i="9"/>
  <c r="L11" i="9"/>
  <c r="E10" i="9"/>
  <c r="I10" i="9"/>
  <c r="I11" i="9"/>
  <c r="M10" i="9"/>
  <c r="M11" i="9"/>
  <c r="M26" i="9"/>
  <c r="J10" i="9"/>
  <c r="J11" i="9"/>
  <c r="D10" i="9"/>
  <c r="H8" i="9"/>
  <c r="P12" i="6"/>
  <c r="N11" i="8"/>
  <c r="N30" i="8"/>
  <c r="C7" i="10"/>
  <c r="G9" i="10"/>
  <c r="E7" i="10"/>
  <c r="D6" i="10"/>
  <c r="H9" i="9"/>
  <c r="L10" i="8"/>
  <c r="L29" i="8"/>
  <c r="G26" i="9"/>
  <c r="M8" i="10"/>
  <c r="I26" i="9"/>
  <c r="L26" i="9"/>
  <c r="F26" i="9"/>
  <c r="M7" i="10"/>
  <c r="H26" i="9"/>
  <c r="M9" i="10"/>
  <c r="K26" i="9"/>
  <c r="J26" i="9"/>
  <c r="D19" i="12"/>
  <c r="I19" i="12"/>
  <c r="F15" i="11"/>
  <c r="D21" i="12"/>
  <c r="Q13" i="11"/>
  <c r="S13" i="11"/>
  <c r="I20" i="12"/>
  <c r="I17" i="12"/>
  <c r="Q14" i="11"/>
  <c r="S11" i="11"/>
  <c r="S10" i="11"/>
  <c r="I14" i="12"/>
  <c r="S14" i="11"/>
  <c r="Q11" i="11"/>
  <c r="H12" i="11"/>
  <c r="F18" i="12"/>
  <c r="S18" i="13"/>
  <c r="I15" i="12"/>
  <c r="Q10" i="11"/>
  <c r="I16" i="12"/>
  <c r="J12" i="11"/>
  <c r="L12" i="11"/>
  <c r="L15" i="11"/>
  <c r="I12" i="11"/>
  <c r="G18" i="12"/>
  <c r="K12" i="11"/>
  <c r="K15" i="11"/>
  <c r="F8" i="15"/>
  <c r="D12" i="15"/>
  <c r="D10" i="15"/>
  <c r="L10" i="15"/>
  <c r="M10" i="15"/>
  <c r="D16" i="15"/>
  <c r="Q9" i="11"/>
  <c r="S9" i="11"/>
  <c r="C9" i="6"/>
  <c r="D9" i="6"/>
  <c r="G15" i="11"/>
  <c r="E21" i="12"/>
  <c r="F13" i="9"/>
  <c r="D11" i="9"/>
  <c r="E12" i="9"/>
  <c r="F12" i="9"/>
  <c r="E11" i="9"/>
  <c r="D10" i="14"/>
  <c r="D13" i="14"/>
  <c r="D15" i="14"/>
  <c r="D18" i="14"/>
  <c r="D20" i="14"/>
  <c r="D23" i="14"/>
  <c r="D25" i="14"/>
  <c r="D11" i="14"/>
  <c r="D14" i="14"/>
  <c r="D17" i="14"/>
  <c r="D19" i="14"/>
  <c r="D22" i="14"/>
  <c r="D24" i="14"/>
  <c r="D26" i="14"/>
  <c r="F8" i="14"/>
  <c r="I8" i="9"/>
  <c r="P13" i="6"/>
  <c r="L11" i="8"/>
  <c r="L30" i="8"/>
  <c r="C8" i="10"/>
  <c r="E8" i="10"/>
  <c r="F9" i="10"/>
  <c r="I9" i="9"/>
  <c r="D7" i="10"/>
  <c r="G14" i="9"/>
  <c r="H15" i="9"/>
  <c r="I16" i="9"/>
  <c r="J17" i="9"/>
  <c r="K18" i="9"/>
  <c r="N12" i="8"/>
  <c r="N31" i="8"/>
  <c r="K8" i="15"/>
  <c r="K19" i="15"/>
  <c r="K20" i="15"/>
  <c r="J8" i="15"/>
  <c r="J19" i="15"/>
  <c r="J20" i="15"/>
  <c r="L16" i="15"/>
  <c r="M16" i="15"/>
  <c r="L14" i="15"/>
  <c r="M14" i="15"/>
  <c r="G7" i="15"/>
  <c r="G8" i="15"/>
  <c r="G19" i="15"/>
  <c r="G20" i="15"/>
  <c r="H19" i="15"/>
  <c r="H20" i="15"/>
  <c r="D26" i="9"/>
  <c r="M5" i="10"/>
  <c r="D25" i="9"/>
  <c r="L5" i="10"/>
  <c r="E26" i="9"/>
  <c r="M6" i="10"/>
  <c r="J8" i="14"/>
  <c r="K8" i="14"/>
  <c r="G7" i="14"/>
  <c r="G8" i="14"/>
  <c r="H15" i="11"/>
  <c r="F21" i="12"/>
  <c r="F16" i="11"/>
  <c r="D22" i="12"/>
  <c r="J15" i="11"/>
  <c r="H21" i="12"/>
  <c r="H18" i="12"/>
  <c r="I18" i="12"/>
  <c r="I15" i="11"/>
  <c r="G21" i="12"/>
  <c r="S12" i="11"/>
  <c r="T9" i="11"/>
  <c r="Q12" i="11"/>
  <c r="R9" i="11"/>
  <c r="F19" i="15"/>
  <c r="F20" i="15"/>
  <c r="D21" i="9"/>
  <c r="C10" i="6"/>
  <c r="D10" i="6"/>
  <c r="E21" i="9"/>
  <c r="F14" i="14"/>
  <c r="F22" i="14"/>
  <c r="F11" i="14"/>
  <c r="F18" i="14"/>
  <c r="F24" i="14"/>
  <c r="F20" i="14"/>
  <c r="F19" i="14"/>
  <c r="F25" i="14"/>
  <c r="F15" i="14"/>
  <c r="F10" i="14"/>
  <c r="F26" i="14"/>
  <c r="F17" i="14"/>
  <c r="F23" i="14"/>
  <c r="F13" i="14"/>
  <c r="P14" i="6"/>
  <c r="J8" i="9"/>
  <c r="D8" i="10"/>
  <c r="N13" i="8"/>
  <c r="N32" i="8"/>
  <c r="J9" i="9"/>
  <c r="I15" i="9"/>
  <c r="G13" i="9"/>
  <c r="J16" i="9"/>
  <c r="K17" i="9"/>
  <c r="L18" i="9"/>
  <c r="H14" i="9"/>
  <c r="C9" i="10"/>
  <c r="E9" i="10"/>
  <c r="L12" i="8"/>
  <c r="L31" i="8"/>
  <c r="M19" i="10"/>
  <c r="C22" i="9"/>
  <c r="M18" i="10"/>
  <c r="H22" i="14"/>
  <c r="G22" i="14"/>
  <c r="K22" i="14"/>
  <c r="K13" i="14"/>
  <c r="K17" i="14"/>
  <c r="H17" i="14"/>
  <c r="G17" i="14"/>
  <c r="G13" i="14"/>
  <c r="H13" i="14"/>
  <c r="H10" i="14"/>
  <c r="G10" i="14"/>
  <c r="K10" i="14"/>
  <c r="I21" i="12"/>
  <c r="J16" i="11"/>
  <c r="H22" i="12"/>
  <c r="K8" i="10"/>
  <c r="K7" i="10"/>
  <c r="I19" i="15"/>
  <c r="I20" i="15"/>
  <c r="L12" i="15"/>
  <c r="M12" i="15"/>
  <c r="L8" i="15"/>
  <c r="M8" i="15"/>
  <c r="L8" i="14"/>
  <c r="F29" i="14"/>
  <c r="F30" i="14"/>
  <c r="C11" i="6"/>
  <c r="D11" i="6"/>
  <c r="G16" i="11"/>
  <c r="E22" i="12"/>
  <c r="F21" i="9"/>
  <c r="K16" i="11"/>
  <c r="L16" i="11"/>
  <c r="K8" i="9"/>
  <c r="P15" i="6"/>
  <c r="K9" i="9"/>
  <c r="L17" i="9"/>
  <c r="M18" i="9"/>
  <c r="J15" i="9"/>
  <c r="K16" i="9"/>
  <c r="I14" i="9"/>
  <c r="H13" i="9"/>
  <c r="G12" i="9"/>
  <c r="D9" i="10"/>
  <c r="H16" i="11"/>
  <c r="F22" i="12"/>
  <c r="N14" i="8"/>
  <c r="N33" i="8"/>
  <c r="L13" i="8"/>
  <c r="L32" i="8"/>
  <c r="I16" i="11"/>
  <c r="G22" i="12"/>
  <c r="H22" i="9"/>
  <c r="I9" i="10"/>
  <c r="G22" i="9"/>
  <c r="I8" i="10"/>
  <c r="F22" i="9"/>
  <c r="I7" i="10"/>
  <c r="E22" i="9"/>
  <c r="I6" i="10"/>
  <c r="D22" i="9"/>
  <c r="I5" i="10"/>
  <c r="L22" i="9"/>
  <c r="K22" i="9"/>
  <c r="J22" i="9"/>
  <c r="M22" i="9"/>
  <c r="I22" i="9"/>
  <c r="J23" i="9"/>
  <c r="I23" i="9"/>
  <c r="H23" i="9"/>
  <c r="J9" i="10"/>
  <c r="G23" i="9"/>
  <c r="J8" i="10"/>
  <c r="F23" i="9"/>
  <c r="J7" i="10"/>
  <c r="E23" i="9"/>
  <c r="J6" i="10"/>
  <c r="J5" i="10"/>
  <c r="M23" i="9"/>
  <c r="K23" i="9"/>
  <c r="L23" i="9"/>
  <c r="I22" i="12"/>
  <c r="L22" i="14"/>
  <c r="M22" i="14"/>
  <c r="K9" i="10"/>
  <c r="C12" i="6"/>
  <c r="D12" i="6"/>
  <c r="L19" i="15"/>
  <c r="L20" i="15"/>
  <c r="M19" i="15"/>
  <c r="M20" i="15"/>
  <c r="G29" i="14"/>
  <c r="I29" i="14"/>
  <c r="I30" i="14"/>
  <c r="H29" i="14"/>
  <c r="L10" i="14"/>
  <c r="K29" i="14"/>
  <c r="K30" i="14"/>
  <c r="L17" i="14"/>
  <c r="L13" i="14"/>
  <c r="J29" i="14"/>
  <c r="J30" i="14"/>
  <c r="L8" i="9"/>
  <c r="P16" i="6"/>
  <c r="L14" i="8"/>
  <c r="L33" i="8"/>
  <c r="N15" i="8"/>
  <c r="N34" i="8"/>
  <c r="L16" i="9"/>
  <c r="J14" i="9"/>
  <c r="H12" i="9"/>
  <c r="K15" i="9"/>
  <c r="M17" i="9"/>
  <c r="I13" i="9"/>
  <c r="L9" i="9"/>
  <c r="C13" i="6"/>
  <c r="D13" i="6"/>
  <c r="N5" i="10"/>
  <c r="O5" i="10"/>
  <c r="C6" i="9"/>
  <c r="E27" i="9"/>
  <c r="D9" i="8"/>
  <c r="G5" i="9"/>
  <c r="F27" i="9"/>
  <c r="C5" i="9"/>
  <c r="H30" i="14"/>
  <c r="L29" i="14"/>
  <c r="L30" i="14"/>
  <c r="D27" i="9"/>
  <c r="D8" i="8"/>
  <c r="N7" i="10"/>
  <c r="O7" i="10"/>
  <c r="N6" i="10"/>
  <c r="O6" i="10"/>
  <c r="G21" i="9"/>
  <c r="M13" i="14"/>
  <c r="M10" i="14"/>
  <c r="M8" i="14"/>
  <c r="M17" i="14"/>
  <c r="G30" i="14"/>
  <c r="P17" i="6"/>
  <c r="M8" i="9"/>
  <c r="N16" i="8"/>
  <c r="N35" i="8"/>
  <c r="J13" i="9"/>
  <c r="K14" i="9"/>
  <c r="I12" i="9"/>
  <c r="L15" i="9"/>
  <c r="M16" i="9"/>
  <c r="L15" i="8"/>
  <c r="L34" i="8"/>
  <c r="M9" i="9"/>
  <c r="C14" i="6"/>
  <c r="D14" i="6"/>
  <c r="M29" i="14"/>
  <c r="N8" i="10"/>
  <c r="O8" i="10"/>
  <c r="G27" i="9"/>
  <c r="D29" i="8"/>
  <c r="H21" i="9"/>
  <c r="D10" i="8"/>
  <c r="P18" i="6"/>
  <c r="N17" i="8"/>
  <c r="N37" i="8"/>
  <c r="N36" i="8"/>
  <c r="L16" i="8"/>
  <c r="L35" i="8"/>
  <c r="J12" i="9"/>
  <c r="M15" i="9"/>
  <c r="K13" i="9"/>
  <c r="L14" i="9"/>
  <c r="C15" i="6"/>
  <c r="D15" i="6"/>
  <c r="H27" i="9"/>
  <c r="I21" i="9"/>
  <c r="D30" i="8"/>
  <c r="M30" i="14"/>
  <c r="L17" i="8"/>
  <c r="L37" i="8"/>
  <c r="L36" i="8"/>
  <c r="L13" i="9"/>
  <c r="M14" i="9"/>
  <c r="K12" i="9"/>
  <c r="C16" i="6"/>
  <c r="D16" i="6"/>
  <c r="N9" i="10"/>
  <c r="I27" i="9"/>
  <c r="J21" i="9"/>
  <c r="D11" i="8"/>
  <c r="D31" i="8"/>
  <c r="M13" i="9"/>
  <c r="L12" i="9"/>
  <c r="G4" i="9"/>
  <c r="C17" i="6"/>
  <c r="D17" i="6"/>
  <c r="G6" i="9"/>
  <c r="O9" i="10"/>
  <c r="N10" i="10"/>
  <c r="K21" i="9"/>
  <c r="D12" i="8"/>
  <c r="M12" i="9"/>
  <c r="C18" i="6"/>
  <c r="D18" i="6"/>
  <c r="J27" i="9"/>
  <c r="L21" i="9"/>
  <c r="D32" i="8"/>
  <c r="M21" i="9"/>
  <c r="D13" i="8"/>
  <c r="D33" i="8"/>
  <c r="C20" i="6"/>
  <c r="G9" i="6"/>
  <c r="C4" i="9"/>
  <c r="K4" i="9"/>
  <c r="K27" i="9"/>
  <c r="M27" i="9"/>
  <c r="D14" i="8"/>
  <c r="D34" i="8"/>
  <c r="D20" i="6"/>
  <c r="L27" i="9"/>
  <c r="D15" i="8"/>
  <c r="D35" i="8"/>
  <c r="I9" i="6"/>
  <c r="C8" i="8"/>
  <c r="G12" i="6"/>
  <c r="G16" i="6"/>
  <c r="G15" i="6"/>
  <c r="G13" i="6"/>
  <c r="G17" i="6"/>
  <c r="G10" i="6"/>
  <c r="G14" i="6"/>
  <c r="G18" i="6"/>
  <c r="G11" i="6"/>
  <c r="D16" i="8"/>
  <c r="D36" i="8"/>
  <c r="I13" i="6"/>
  <c r="I17" i="6"/>
  <c r="I10" i="6"/>
  <c r="I14" i="6"/>
  <c r="I12" i="6"/>
  <c r="I16" i="6"/>
  <c r="I18" i="6"/>
  <c r="I11" i="6"/>
  <c r="I15" i="6"/>
  <c r="G20" i="6"/>
  <c r="D17" i="8"/>
  <c r="D2" i="8"/>
  <c r="C28" i="8"/>
  <c r="C11" i="8"/>
  <c r="C12" i="8"/>
  <c r="C10" i="8"/>
  <c r="C15" i="8"/>
  <c r="C16" i="8"/>
  <c r="C14" i="8"/>
  <c r="C17" i="8"/>
  <c r="C9" i="8"/>
  <c r="C13" i="8"/>
  <c r="I20" i="6"/>
  <c r="C2" i="8"/>
  <c r="C22" i="8"/>
  <c r="D37" i="8"/>
  <c r="F10" i="8"/>
  <c r="C30" i="8"/>
  <c r="F9" i="8"/>
  <c r="C29" i="8"/>
  <c r="F15" i="8"/>
  <c r="C35" i="8"/>
  <c r="F12" i="8"/>
  <c r="C32" i="8"/>
  <c r="F14" i="8"/>
  <c r="C34" i="8"/>
  <c r="F13" i="8"/>
  <c r="C33" i="8"/>
  <c r="F17" i="8"/>
  <c r="C37" i="8"/>
  <c r="F16" i="8"/>
  <c r="C36" i="8"/>
  <c r="F11" i="8"/>
  <c r="C31" i="8"/>
  <c r="G16" i="8"/>
  <c r="G36" i="8"/>
  <c r="F36" i="8"/>
  <c r="F33" i="8"/>
  <c r="G13" i="8"/>
  <c r="G33" i="8"/>
  <c r="G12" i="8"/>
  <c r="G32" i="8"/>
  <c r="F32" i="8"/>
  <c r="F29" i="8"/>
  <c r="G9" i="8"/>
  <c r="G29" i="8"/>
  <c r="G11" i="8"/>
  <c r="G31" i="8"/>
  <c r="F31" i="8"/>
  <c r="F37" i="8"/>
  <c r="G17" i="8"/>
  <c r="G37" i="8"/>
  <c r="G14" i="8"/>
  <c r="G34" i="8"/>
  <c r="F34" i="8"/>
  <c r="G15" i="8"/>
  <c r="G35" i="8"/>
  <c r="F35" i="8"/>
  <c r="F30" i="8"/>
  <c r="G10" i="8"/>
  <c r="G30" i="8"/>
  <c r="D28" i="8"/>
  <c r="F8" i="8"/>
  <c r="D22" i="8"/>
  <c r="G8" i="8"/>
  <c r="G28" i="8"/>
  <c r="F28" i="8"/>
  <c r="F2" i="8"/>
  <c r="F22" i="8"/>
  <c r="I22" i="8"/>
  <c r="I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เจนโปรแคช 6
เจนโปรแคช 10 พลัส
เจนโปรแคช 15
เจนเซฟ 20 พลัส
เจนโปรสมาร์ท 20
เจนพาร์เวลธ์ 25/15
เจนสมาร์ทไลฟ์ 85/85
เจนโปรไลฟ์ 20
เจนโปรไลฟ์ 25
เจนบำนาญ 8
เจนเวลธ์ชอยส์ 99/5
เจนเวลธ์ชอยส์ 99/10
เจนเวลธ์ชอยส์ 99/15
เจนเวลธ์ชอยส์ 90/16
เจนเวลธ์ชอยส์ สมายล์ 90/5
เจนเวลธ์ชอยส์ สมายล์ 90/10
เจนเวลธ์ชอยส์ สมายล์ 90/15
เจนโพรเทค 99/5
เจนโพรเทค 99/10
เจน อีซี่ เฮลธ์ ดีไซน์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เจนโปรแคช 6
เจนโปรแคช 10 พลัส
เจนโปรแคช 15
เจนเซฟ 20 พลัส
เจนโปรสมาร์ท 20
เจนพาร์เวลธ์ 25/15
เจนสมาร์ทไลฟ์ 85/85
เจนโปรไลฟ์ 20
เจนโปรไลฟ์ 25
เจนบำนาญ 8
เจนเวลธ์ชอยส์ 99/5
เจนเวลธ์ชอยส์ 99/10
เจนเวลธ์ชอยส์ 99/15
เจนเวลธ์ชอยส์ 90/16
เจนเวลธ์ชอยส์ สมายล์ 90/5
เจนเวลธ์ชอยส์ สมายล์ 90/10
เจนเวลธ์ชอยส์ สมายล์ 90/15
เจนโพรเทค 99/5
เจนโพรเทค 99/10
เจน อีซี่ เฮลธ์ ดีไซน์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</author>
    <author>Best</author>
  </authors>
  <commentList>
    <comment ref="Q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ชั่วระยะเวลา 10/10
ชั่วระยะเวลา 20/20
ไลฟ์  โพรเทคเตอร์ เอ็กซ์ตร้า A90/1
ไลฟ์  โพรเทคเตอร์ 5 (A90/5)
ไลฟ์  โพรเทคเตอร์ 10 (A90/10)
ไลฟ์  โพรเทคเตอร์ 15 (A90/15)
ไลฟ์  โพรเทคเตอร์ 20 (A90/20)
ไลฟ์ โพรเทคเตอร์ พลัส 20 (A99/20)
สุพรีม ไลฟ์  โพรเทคเตอร์ A90/20
ตลอดชีพ (ไม่มีเงินปันผล) A99/A90
12 ทีเอ็กซ์ A90/12
24 ทีเอ็กซ์ A90/24
ตลอดชีพ เอ็กซ์ตร้า A90/10
ตลอดชีพ เอ็กซ์ตร้า A90/15
เกษียณเพิ่มสุข A90/15
7 สมาร์ท แพลน (21/7)
15 สมาร์ท แพลน (21/15)
สมาร์ท เซฟวิ่งส์ 12/4
สมาร์ท เซฟวิ่งส์ 15/8
เกษียณออมทรัพย์ A60/A55
เกษียณออมทรัพย์ A65/A60
สเตป เซฟวิ่งส์ A78/6
แอนนิวตี้ เรดดี้ A90/5
แอนนิวตี้ เรดดี้ A90/A60
แอนนิวตี้ เรดดี้ A90/A65
บำนาญเพิ่มสุข A85/15
บำนาญเพิ่มสุข A85/A55</t>
        </r>
      </text>
    </comment>
    <comment ref="C7" authorId="1" shapeId="0" xr:uid="{C1D36C76-30A1-4753-93AE-DF817C05F2B5}">
      <text>
        <r>
          <rPr>
            <sz val="18"/>
            <color indexed="81"/>
            <rFont val="Tahoma"/>
            <family val="2"/>
          </rPr>
          <t>ข้อมูลจากหน้า PA</t>
        </r>
      </text>
    </comment>
    <comment ref="D7" authorId="1" shapeId="0" xr:uid="{4092F190-AE56-4332-8247-7CD4241C76AC}">
      <text>
        <r>
          <rPr>
            <sz val="18"/>
            <color indexed="81"/>
            <rFont val="Tahoma"/>
            <family val="2"/>
          </rPr>
          <t xml:space="preserve">ข้อมูลจากหน้า COM10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</author>
  </authors>
  <commentList>
    <comment ref="Q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ชั่วระยะเวลา 10/10
ชั่วระยะเวลา 20/20
ไลฟ์  โพรเทคเตอร์ เอ็กซ์ตร้า A90/1
ไลฟ์  โพรเทคเตอร์ 5 (A90/5)
ไลฟ์  โพรเทคเตอร์ 10 (A90/10)
ไลฟ์  โพรเทคเตอร์ 15 (A90/15)
ไลฟ์  โพรเทคเตอร์ 20 (A90/20)
ไลฟ์ โพรเทคเตอร์ พลัส 20 (A99/20)
สุพรีม ไลฟ์  โพรเทคเตอร์ A90/20
ตลอดชีพ (ไม่มีเงินปันผล) A99/A90
12 ทีเอ็กซ์ A90/12
24 ทีเอ็กซ์ A90/24
ตลอดชีพ เอ็กซ์ตร้า A90/10
ตลอดชีพ เอ็กซ์ตร้า A90/15
เกษียณเพิ่มสุข A90/15
7 สมาร์ท แพลน (21/7)
15 สมาร์ท แพลน (21/15)
สมาร์ท เซฟวิ่งส์ 12/4
สมาร์ท เซฟวิ่งส์ 15/8
เกษียณออมทรัพย์ A60/A55
เกษียณออมทรัพย์ A65/A60
สเตป เซฟวิ่งส์ A78/6
แอนนิวตี้ เรดดี้ A90/5
แอนนิวตี้ เรดดี้ A90/A60
แอนนิวตี้ เรดดี้ A90/A65
บำนาญเพิ่มสุข A85/15
บำนาญเพิ่มสุข A85/A55
สเตป แอนนิวตี้ A90/10
สเตป แอนนิวตี้ A90/A60
ซีไอ เอ็กซ์ตร้า พลัส A90/10
ซีไอ เอ็กซ์ตร้า พลัส A90/20
ซิกเนเจอร์ เลกาซี 5 (A99/5)
ซิกเนเจอร์ เลกาซี 10 (A99/10)
โปร เซฟเวอร์ 20/10
สตาร์ต เซฟเวอร์ 25/15
868 อีลีท เซฟวิ่งส์ A68/8
818 อีลีท เซฟวิ่งส์ 18/8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</author>
  </authors>
  <commentList>
    <comment ref="S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ชั่วระยะเวลา 10/10
ชั่วระยะเวลา 20/20
ไลฟ์  โพรเทคเตอร์ เอ็กซ์ตร้า A90/1
ไลฟ์  โพรเทคเตอร์ 5 (A90/5)
ไลฟ์  โพรเทคเตอร์ 10 (A90/10)
ไลฟ์  โพรเทคเตอร์ 15 (A90/15)
ไลฟ์  โพรเทคเตอร์ 20 (A90/20)
ไลฟ์ โพรเทคเตอร์ พลัส 20 (A99/20)
สุพรีม ไลฟ์  โพรเทคเตอร์ A90/20
ตลอดชีพ (ไม่มีเงินปันผล) A99/A90
12 ทีเอ็กซ์ A90/12
24 ทีเอ็กซ์ A90/24
ตลอดชีพ เอ็กซ์ตร้า A90/10
ตลอดชีพ เอ็กซ์ตร้า A90/15
เกษียณเพิ่มสุข A90/15
7 สมาร์ท แพลน (21/7)
15 สมาร์ท แพลน (21/15)
สมาร์ท เซฟวิ่งส์ 12/4
สมาร์ท เซฟวิ่งส์ 15/8
เกษียณออมทรัพย์ A60/A55
เกษียณออมทรัพย์ A65/A60
สเตป เซฟวิ่งส์ A78/6
แอนนิวตี้ เรดดี้ A90/5
แอนนิวตี้ เรดดี้ A90/A60
แอนนิวตี้ เรดดี้ A90/A65
บำนาญเพิ่มสุข A85/15
บำนาญเพิ่มสุข A85/A55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</author>
  </authors>
  <commentList>
    <comment ref="AM3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ชั่วระยะเวลา 10/10
ชั่วระยะเวลา 20/20
ไลฟ์  โพรเทคเตอร์ เอ็กซ์ตร้า A90/1
ไลฟ์  โพรเทคเตอร์ 5 (A90/5)
ไลฟ์  โพรเทคเตอร์ 10 (A90/10)
ไลฟ์  โพรเทคเตอร์ 15 (A90/15)
ไลฟ์  โพรเทคเตอร์ 20 (A90/20)
ไลฟ์ โพรเทคเตอร์ พลัส 20 (A99/20)
สุพรีม ไลฟ์  โพรเทคเตอร์ A90/20
ตลอดชีพ (ไม่มีเงินปันผล) A99/A90
12 ทีเอ็กซ์ A90/12
24 ทีเอ็กซ์ A90/24
ตลอดชีพ เอ็กซ์ตร้า A90/10
ตลอดชีพ เอ็กซ์ตร้า A90/15
เกษียณเพิ่มสุข A90/15
7 สมาร์ท แพลน (21/7)
15 สมาร์ท แพลน (21/15)
สมาร์ท เซฟวิ่งส์ 12/4
สมาร์ท เซฟวิ่งส์ 15/8
เกษียณออมทรัพย์ A60/A55
เกษียณออมทรัพย์ A65/A60
สเตป เซฟวิ่งส์ A78/6
แอนนิวตี้ เรดดี้ A90/5
แอนนิวตี้ เรดดี้ A90/A60
แอนนิวตี้ เรดดี้ A90/A65
บำนาญเพิ่มสุข A85/15
บำนาญเพิ่มสุข A85/A55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</author>
  </authors>
  <commentList>
    <comment ref="P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ชั่วระยะเวลา 10/10
ชั่วระยะเวลา 20/20
ไลฟ์  โพรเทคเตอร์ เอ็กซ์ตร้า A90/1
ไลฟ์  โพรเทคเตอร์ 5 (A90/5)
ไลฟ์  โพรเทคเตอร์ 10 (A90/10)
ไลฟ์  โพรเทคเตอร์ 15 (A90/15)
ไลฟ์  โพรเทคเตอร์ 20 (A90/20)
ไลฟ์ โพรเทคเตอร์ พลัส 20 (A99/20)
สุพรีม ไลฟ์  โพรเทคเตอร์ A90/20
ตลอดชีพ (ไม่มีเงินปันผล) A99/A90
12 ทีเอ็กซ์ A90/12
24 ทีเอ็กซ์ A90/24
ตลอดชีพ เอ็กซ์ตร้า A90/10
ตลอดชีพ เอ็กซ์ตร้า A90/15
เกษียณเพิ่มสุข A90/15
7 สมาร์ท แพลน (21/7)
15 สมาร์ท แพลน (21/15)
สมาร์ท เซฟวิ่งส์ 12/4
สมาร์ท เซฟวิ่งส์ 15/8
เกษียณออมทรัพย์ A60/A55
เกษียณออมทรัพย์ A65/A60
สเตป เซฟวิ่งส์ A78/6
แอนนิวตี้ เรดดี้ A90/5
แอนนิวตี้ เรดดี้ A90/A60
แอนนิวตี้ เรดดี้ A90/A65
บำนาญเพิ่มสุข A85/15
บำนาญเพิ่มสุข A85/A55
สเตป แอนนิวตี้ A90/10
สเตป แอนนิวตี้ A90/A60
ซีไอ เอ็กซ์ตร้า พลัส A90/10
ซีไอ เอ็กซ์ตร้า พลัส A90/20
ซิกเนเจอร์ เลกาซี 5 (A99/5)
ซิกเนเจอร์ เลกาซี 10 (A99/10)
โปร เซฟเวอร์ 20/10
สตาร์ต เซฟเวอร์ 25/15
868 อีลีท เซฟวิ่งส์ A68/8
818 อีลีท เซฟวิ่งส์ 18/8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</author>
  </authors>
  <commentList>
    <comment ref="P2" authorId="0" shapeId="0" xr:uid="{DC384446-48F3-42CB-8C03-C1C1BAAEA199}">
      <text>
        <r>
          <rPr>
            <b/>
            <sz val="9"/>
            <color indexed="81"/>
            <rFont val="Tahoma"/>
            <family val="2"/>
          </rPr>
          <t>ชั่วระยะเวลา 10/10
ชั่วระยะเวลา 20/20
ไลฟ์  โพรเทคเตอร์ เอ็กซ์ตร้า A90/1
ไลฟ์  โพรเทคเตอร์ 5 (A90/5)
ไลฟ์  โพรเทคเตอร์ 10 (A90/10)
ไลฟ์  โพรเทคเตอร์ 15 (A90/15)
ไลฟ์  โพรเทคเตอร์ 20 (A90/20)
ไลฟ์ โพรเทคเตอร์ พลัส 20 (A99/20)
สุพรีม ไลฟ์  โพรเทคเตอร์ A90/20
ตลอดชีพ (ไม่มีเงินปันผล) A99/A90
12 ทีเอ็กซ์ A90/12
24 ทีเอ็กซ์ A90/24
ตลอดชีพ เอ็กซ์ตร้า A90/10
ตลอดชีพ เอ็กซ์ตร้า A90/15
เกษียณเพิ่มสุข A90/15
7 สมาร์ท แพลน (21/7)
15 สมาร์ท แพลน (21/15)
สมาร์ท เซฟวิ่งส์ 12/4
สมาร์ท เซฟวิ่งส์ 15/8
เกษียณออมทรัพย์ A60/A55
เกษียณออมทรัพย์ A65/A60
สเตป เซฟวิ่งส์ A78/6
แอนนิวตี้ เรดดี้ A90/5
แอนนิวตี้ เรดดี้ A90/A60
แอนนิวตี้ เรดดี้ A90/A65
บำนาญเพิ่มสุข A85/15
บำนาญเพิ่มสุข A85/A55
สเตป แอนนิวตี้ A90/10
สเตป แอนนิวตี้ A90/A60
ซีไอ เอ็กซ์ตร้า พลัส A90/10
ซีไอ เอ็กซ์ตร้า พลัส A90/20
ซิกเนเจอร์ เลกาซี 5 (A99/5)
ซิกเนเจอร์ เลกาซี 10 (A99/10)
โปร เซฟเวอร์ 20/10
สตาร์ต เซฟเวอร์ 25/15
868 อีลีท เซฟวิ่งส์ A68/8
818 อีลีท เซฟวิ่งส์ 18/8</t>
        </r>
      </text>
    </comment>
    <comment ref="P4" authorId="0" shapeId="0" xr:uid="{610C1696-6AEA-4BDC-A919-697B468528F2}">
      <text>
        <r>
          <rPr>
            <b/>
            <sz val="9"/>
            <color indexed="81"/>
            <rFont val="Tahoma"/>
            <family val="2"/>
          </rPr>
          <t>ชั่วระยะเวลา 10/10
ชั่วระยะเวลา 20/20
ไลฟ์  โพรเทคเตอร์ เอ็กซ์ตร้า A90/1
ไลฟ์  โพรเทคเตอร์ 5 (A90/5)
ไลฟ์  โพรเทคเตอร์ 10 (A90/10)
ไลฟ์  โพรเทคเตอร์ 15 (A90/15)
ไลฟ์  โพรเทคเตอร์ 20 (A90/20)
ไลฟ์ โพรเทคเตอร์ พลัส 20 (A99/20)
สุพรีม ไลฟ์  โพรเทคเตอร์ A90/20
ตลอดชีพ (ไม่มีเงินปันผล) A99/A90
12 ทีเอ็กซ์ A90/12
24 ทีเอ็กซ์ A90/24
ตลอดชีพ เอ็กซ์ตร้า A90/10
ตลอดชีพ เอ็กซ์ตร้า A90/15
เกษียณเพิ่มสุข A90/15
7 สมาร์ท แพลน (21/7)
15 สมาร์ท แพลน (21/15)
สมาร์ท เซฟวิ่งส์ 12/4
สมาร์ท เซฟวิ่งส์ 15/8
เกษียณออมทรัพย์ A60/A55
เกษียณออมทรัพย์ A65/A60
สเตป เซฟวิ่งส์ A78/6
แอนนิวตี้ เรดดี้ A90/5
แอนนิวตี้ เรดดี้ A90/A60
แอนนิวตี้ เรดดี้ A90/A65
บำนาญเพิ่มสุข A85/15
บำนาญเพิ่มสุข A85/A55</t>
        </r>
      </text>
    </comment>
  </commentList>
</comments>
</file>

<file path=xl/sharedStrings.xml><?xml version="1.0" encoding="utf-8"?>
<sst xmlns="http://schemas.openxmlformats.org/spreadsheetml/2006/main" count="1037" uniqueCount="412">
  <si>
    <t>-</t>
  </si>
  <si>
    <t>ปี</t>
  </si>
  <si>
    <t>บาท</t>
  </si>
  <si>
    <t>เบี้ย</t>
  </si>
  <si>
    <t>ปี พ.ศ.</t>
  </si>
  <si>
    <t>ขณะนี้ท่านเหลือเวลาอยู่อีกเท่าไร ?</t>
  </si>
  <si>
    <t>ตอนนี้อายุ</t>
  </si>
  <si>
    <t>ฝากธนาคารรายเดือน ดอกเบี้ย</t>
  </si>
  <si>
    <t xml:space="preserve">      / ปี</t>
  </si>
  <si>
    <t>รายได้</t>
  </si>
  <si>
    <t>ผลประโยชน์ตัวแทน</t>
  </si>
  <si>
    <t>AG</t>
  </si>
  <si>
    <t>ปีที่</t>
  </si>
  <si>
    <t>พ.ศ.</t>
  </si>
  <si>
    <t>FYP/RYP</t>
  </si>
  <si>
    <t>%COM</t>
  </si>
  <si>
    <t>FYC</t>
  </si>
  <si>
    <t>โบนัสตัวแทน</t>
  </si>
  <si>
    <t>รับรวม</t>
  </si>
  <si>
    <t>เฉลี่ยต่อเดือน</t>
  </si>
  <si>
    <t>ยอดรายรับรวม</t>
  </si>
  <si>
    <t>ตลอดอายุกรมธรรม์</t>
  </si>
  <si>
    <t>FYC/RYC</t>
  </si>
  <si>
    <t>FYP</t>
  </si>
  <si>
    <t xml:space="preserve">  Baht/Case</t>
  </si>
  <si>
    <t xml:space="preserve">  Cases / M.</t>
  </si>
  <si>
    <t>Mon.</t>
  </si>
  <si>
    <t>Yrs.</t>
  </si>
  <si>
    <t>Year</t>
  </si>
  <si>
    <t>10 Yrs.</t>
  </si>
  <si>
    <t>สถิติการเข้าพบเพื่อขาย</t>
  </si>
  <si>
    <t>พบคนเพื่อขายเฉลี่ยวันละ</t>
  </si>
  <si>
    <t>ราย</t>
  </si>
  <si>
    <t>ต่อเดือน</t>
  </si>
  <si>
    <t>สัปดาห์ละ 5 วัน</t>
  </si>
  <si>
    <t>ต่อปี</t>
  </si>
  <si>
    <t>เดือนละ</t>
  </si>
  <si>
    <t xml:space="preserve">ปีละ </t>
  </si>
  <si>
    <t xml:space="preserve"> </t>
  </si>
  <si>
    <t>Age</t>
  </si>
  <si>
    <t xml:space="preserve">อัตราการขายได้เฉลี่ย </t>
  </si>
  <si>
    <t>:</t>
  </si>
  <si>
    <t>สถิติการขายได้</t>
  </si>
  <si>
    <t>ขายได้ปีละ</t>
  </si>
  <si>
    <t>FYP เฉลี่ยรายละ</t>
  </si>
  <si>
    <t xml:space="preserve"> PA</t>
  </si>
  <si>
    <t xml:space="preserve"> Life</t>
  </si>
  <si>
    <t>FYP / Case</t>
  </si>
  <si>
    <t>Cases / Mon.</t>
  </si>
  <si>
    <t>FYC Life + Bo. + IC.</t>
  </si>
  <si>
    <t>Per Yrs.</t>
  </si>
  <si>
    <t>Per Mon.</t>
  </si>
  <si>
    <t>Case Life</t>
  </si>
  <si>
    <t>Case PA</t>
  </si>
  <si>
    <t>Com.</t>
  </si>
  <si>
    <t>Total</t>
  </si>
  <si>
    <t>RYC</t>
  </si>
  <si>
    <t>RYC2</t>
  </si>
  <si>
    <t>RYC3</t>
  </si>
  <si>
    <t>RYC4</t>
  </si>
  <si>
    <t>RYC5</t>
  </si>
  <si>
    <t>รวม</t>
  </si>
  <si>
    <t>สัปดาห์ละ</t>
  </si>
  <si>
    <t>Bonus</t>
  </si>
  <si>
    <t>ของ FYP</t>
  </si>
  <si>
    <t>ตัวย่อ</t>
  </si>
  <si>
    <t>FYP =</t>
  </si>
  <si>
    <t>FYC =</t>
  </si>
  <si>
    <t>RYC =</t>
  </si>
  <si>
    <t>รายได้ของตัวแทนจากการทำงานอย่างสม่ำเสมอภายใน 5 ปี</t>
  </si>
  <si>
    <t>FYC/ ราย</t>
  </si>
  <si>
    <t>Agt.</t>
  </si>
  <si>
    <t>FYP/ราย</t>
  </si>
  <si>
    <t>Cases/M.</t>
  </si>
  <si>
    <t>ราย / เดือน</t>
  </si>
  <si>
    <t xml:space="preserve">ปีที่  </t>
  </si>
  <si>
    <t>เดือนที่</t>
  </si>
  <si>
    <t>รายได้รวม</t>
  </si>
  <si>
    <t>เบี้ยรวม</t>
  </si>
  <si>
    <t>รายได้ปีต่อ 1</t>
  </si>
  <si>
    <t>รายได้ปีต่อ 2</t>
  </si>
  <si>
    <t>รายได้ปีต่อ 3</t>
  </si>
  <si>
    <t>รายได้ปีต่อ 4</t>
  </si>
  <si>
    <t>รายได้ปีต่อ 1-2</t>
  </si>
  <si>
    <t>รายได้ปีต่อ 5</t>
  </si>
  <si>
    <t>รายได้ปีต่อ 1-3</t>
  </si>
  <si>
    <t>รายได้ปีต่อ 6</t>
  </si>
  <si>
    <t>รายได้ปีต่อ 1-4</t>
  </si>
  <si>
    <t>Total  5 Y.</t>
  </si>
  <si>
    <t>FYC PA</t>
  </si>
  <si>
    <t>Total 7 Y.</t>
  </si>
  <si>
    <t>รายได้เฉลี่ย / เดือน</t>
  </si>
  <si>
    <t xml:space="preserve">Age </t>
  </si>
  <si>
    <t xml:space="preserve">Year </t>
  </si>
  <si>
    <t xml:space="preserve">รวมรายได้ 5 ปี  </t>
  </si>
  <si>
    <t>แผนรายได้สะสมในระยะเวลา 10 ปี</t>
  </si>
  <si>
    <t>First Year Premium (เบี้ยประกันปีแรก)</t>
  </si>
  <si>
    <t>Renewal Year Commission (ค่าคอมมิชชั่นปีต่ออายุ)</t>
  </si>
  <si>
    <t>First Year Commission (ค่าคอมมิชชั่นปีแรก)</t>
  </si>
  <si>
    <t>RYC6</t>
  </si>
  <si>
    <t>TOTAL</t>
  </si>
  <si>
    <t>PA</t>
  </si>
  <si>
    <t>COM</t>
  </si>
  <si>
    <t>บาท / ปี</t>
  </si>
  <si>
    <t>รวมผลประโยชน์ AG</t>
  </si>
  <si>
    <t>เกณฑ์และเงื่อนไข</t>
  </si>
  <si>
    <t>FYC สะสม</t>
  </si>
  <si>
    <t>แผน 1</t>
  </si>
  <si>
    <t>แผน 2</t>
  </si>
  <si>
    <t>สุขภาพ (OPD)</t>
  </si>
  <si>
    <t>เงินสมทบรายเดือน</t>
  </si>
  <si>
    <t>ALL YC</t>
  </si>
  <si>
    <t>อายุงาน</t>
  </si>
  <si>
    <t>เดือน 1</t>
  </si>
  <si>
    <t>เดือน 2</t>
  </si>
  <si>
    <t>เดือน 0</t>
  </si>
  <si>
    <t>Tier 1</t>
  </si>
  <si>
    <t>Tier 2</t>
  </si>
  <si>
    <t>ต่ำกว่า Tier</t>
  </si>
  <si>
    <t>บริษัทจ่าย</t>
  </si>
  <si>
    <t>ตารางการจ่ายผลประโยชน์ Monthly Allowance</t>
  </si>
  <si>
    <t>FP</t>
  </si>
  <si>
    <t>FYC อนุมัติใหม่</t>
  </si>
  <si>
    <t>อย่างน้อย 50%</t>
  </si>
  <si>
    <t>Rolling FYC</t>
  </si>
  <si>
    <t>รวม FYC</t>
  </si>
  <si>
    <t>Tier</t>
  </si>
  <si>
    <t>Monthly Allowance</t>
  </si>
  <si>
    <t>หมายเหตุ</t>
  </si>
  <si>
    <t>เดือนที่ 1</t>
  </si>
  <si>
    <t>เดือนที่ 2</t>
  </si>
  <si>
    <t>เดือนที่ 3</t>
  </si>
  <si>
    <t>เดือนที่ 4</t>
  </si>
  <si>
    <t>เดือนที่ 5</t>
  </si>
  <si>
    <t>เดือนที่ 7</t>
  </si>
  <si>
    <t>เดือนที่ 8</t>
  </si>
  <si>
    <t>เดือนที่ 11</t>
  </si>
  <si>
    <t>เดือนที่ 12</t>
  </si>
  <si>
    <t>จากเดือนก่อน</t>
  </si>
  <si>
    <t>ในเดือน</t>
  </si>
  <si>
    <t>เดือน 3</t>
  </si>
  <si>
    <t>เดือน 4</t>
  </si>
  <si>
    <t>เดือน 5</t>
  </si>
  <si>
    <t>เดือน 7</t>
  </si>
  <si>
    <t>เดือน 8</t>
  </si>
  <si>
    <t>เดือน 11</t>
  </si>
  <si>
    <t>เดือน 12</t>
  </si>
  <si>
    <t>แผน 3</t>
  </si>
  <si>
    <t>1. ผลประโยชน์ตัวแทน (FYC,RYC)</t>
  </si>
  <si>
    <t>โครงสร้างผลประโยชน์ตัวแทน</t>
  </si>
  <si>
    <t>อัตรา</t>
  </si>
  <si>
    <t>FYC1</t>
  </si>
  <si>
    <t>MB</t>
  </si>
  <si>
    <t>CB</t>
  </si>
  <si>
    <t>FYP (ปี)</t>
  </si>
  <si>
    <t>RB</t>
  </si>
  <si>
    <t>RYC7</t>
  </si>
  <si>
    <t>ของ FYC</t>
  </si>
  <si>
    <t>MB =</t>
  </si>
  <si>
    <t>CB =</t>
  </si>
  <si>
    <t>ของ Tier</t>
  </si>
  <si>
    <t>เงินเดือน (CB)</t>
  </si>
  <si>
    <t>เงินสมทบ</t>
  </si>
  <si>
    <t>เงินเดือน</t>
  </si>
  <si>
    <t>คอมมิสชัน</t>
  </si>
  <si>
    <t>เงินเดือน
(CB)</t>
  </si>
  <si>
    <t>โบนัสเดือน</t>
  </si>
  <si>
    <t>เงินสะสม</t>
  </si>
  <si>
    <t>แบบ</t>
  </si>
  <si>
    <t>รายปี</t>
  </si>
  <si>
    <t>รายเดือน</t>
  </si>
  <si>
    <t>ทุน</t>
  </si>
  <si>
    <t xml:space="preserve">  Baht</t>
  </si>
  <si>
    <t>Com</t>
  </si>
  <si>
    <t>FYC Life + Bo. + CB.</t>
  </si>
  <si>
    <t>ตัวแทน (AG)</t>
  </si>
  <si>
    <t>แบบประกัน</t>
  </si>
  <si>
    <t>ลำดับ</t>
  </si>
  <si>
    <t>Commission</t>
  </si>
  <si>
    <t>แบบประกัน(Com.)</t>
  </si>
  <si>
    <t>แบบประกัน (Com.)</t>
  </si>
  <si>
    <t>1st</t>
  </si>
  <si>
    <t>Auto</t>
  </si>
  <si>
    <t>2nd</t>
  </si>
  <si>
    <t>3rd</t>
  </si>
  <si>
    <t>4th</t>
  </si>
  <si>
    <t>5th</t>
  </si>
  <si>
    <t>คอมมิชชั่นสูงสุด 40%</t>
  </si>
  <si>
    <t>2. โบนัสรายเดือน (Momthly Bonus : MB)</t>
  </si>
  <si>
    <t>MB = FYC x อัตราโบนัส</t>
  </si>
  <si>
    <t>จ่ายตามตารางการจ่ายเงินของบริษัทฯ เดือนละครั้ง</t>
  </si>
  <si>
    <t>ยอดสะสม FYC (บาท) แต่ละเดือน</t>
  </si>
  <si>
    <t>มี K2 (ผลงานส่วนตัว) มีค่าไม่น้อยกว่า 70%</t>
  </si>
  <si>
    <t>8,000 - 16,000</t>
  </si>
  <si>
    <t>16,001 - 32,000</t>
  </si>
  <si>
    <t>32,001 - 64,000</t>
  </si>
  <si>
    <t>3. โบนัสครึ่งปี ( MYB )</t>
  </si>
  <si>
    <t>MYB = FYC x อัตราโบนัส</t>
  </si>
  <si>
    <t>1.) โบนัสครึ่งปี ( ม.ค.-มิ.ย. / ก.ค. - ธ.ค. )
2.) วัดผลเพื่อจ่ายโบนัสครึ่งปีล่วงหน้า
ให้ ณ สิ้นไตรมาสที่ 1 และไตรมาสที่ 3
3.) มีการปรับปรุงเพื่อจ่ายเพิ่มหรือเรียกคืน
เมื่อครบทุกครึ่งปีปฏิทิน</t>
  </si>
  <si>
    <t>ยอดสะสม FYC (บาท) แต่ละครึ่งปีปฏิทิน</t>
  </si>
  <si>
    <t>40,000 - 60,000</t>
  </si>
  <si>
    <t>60,001 - 100,000</t>
  </si>
  <si>
    <t>100,001 - 150,000</t>
  </si>
  <si>
    <t>150,001 - 200,000</t>
  </si>
  <si>
    <t>200,001 - 250,000</t>
  </si>
  <si>
    <t>250,001 - 300,000</t>
  </si>
  <si>
    <t>300,001 - 400,000</t>
  </si>
  <si>
    <t>เฉลี่ยจ่ายเป็นรายเดือน</t>
  </si>
  <si>
    <t>CB = RYC (ปีที่ 2 -10) x %K2 หารด้วย 12</t>
  </si>
  <si>
    <t>CB = RYC (ปีที่ 2 -10) x %K2 x 110% หารด้วย 12</t>
  </si>
  <si>
    <t>1.) FYC ปีที่ผ่านมา ไม่ต่ำกว่า 100,000 บาท</t>
  </si>
  <si>
    <t>1.) FYC ปีที่ผ่านมา ไม่ต่ำกว่า 200,000 บาท</t>
  </si>
  <si>
    <t>2.) Active Month ไม่ต่ำกว่า 8 เดือน</t>
  </si>
  <si>
    <t>3.) ผลงานส่วนตัว 8 ราย</t>
  </si>
  <si>
    <t>4.) K2 &gt;= 75% วัดผลสิ้น ก.พ. ปีถัดไป</t>
  </si>
  <si>
    <t>4.) K2 &gt;= 85% วัดผลสิ้น ก.พ. ปีถัดไป</t>
  </si>
  <si>
    <t>นับรายสามัญเท่านั้น</t>
  </si>
  <si>
    <t>1.) นับผลงานอนุมัติและคำนวณจ่าย 6 เดือนแรก (นับเดือนแต่งตั้งเป็นเดือนที่ 1)</t>
  </si>
  <si>
    <t>2.) เฉพาะ 3 เดือนแรก จ่าย ณ สิ้นเดือนที่ 3</t>
  </si>
  <si>
    <t>FYC &gt;= 20,000 และ มีงานอนุมัติสะสม 3 ราย</t>
  </si>
  <si>
    <t>FYC &gt;= 50,000 และ มีงานอนุมัติสะสม 5 ราย</t>
  </si>
  <si>
    <t>3.) เดือนที่ 4 - เดือนที่ 6</t>
  </si>
  <si>
    <t>FYC &gt;= 40,000 และ มีงานอนุมัติสะสม 5 ราย</t>
  </si>
  <si>
    <t>FYC &gt;= 100,000 และ มีงานอนุมัติสะสม 10 ราย</t>
  </si>
  <si>
    <t>ยอดสะสม FYC (บาท)</t>
  </si>
  <si>
    <t>รายละเอียด</t>
  </si>
  <si>
    <t>รายละเอียดผลประโยชน์ (ปีถัดไป)</t>
  </si>
  <si>
    <t>1.) มี K2 &gt;= 70%</t>
  </si>
  <si>
    <t>ประกันชีวิตทุน 100,000 บาท</t>
  </si>
  <si>
    <t>2.) ผลงานส่วนตัว 8 ราย ( ม.ค. - ธ.ค. )</t>
  </si>
  <si>
    <t>3.) มีทุนประกันชีวิตส่วนตัวที่บริษัทไม่น้อยกว่า 100,000 บาท</t>
  </si>
  <si>
    <t>ประกันชีวิตทุน 300,000 บาท</t>
  </si>
  <si>
    <t>GHS 800 บาท</t>
  </si>
  <si>
    <t>3.) มีทุนประกันชีวิตส่วนตัวที่บริษัทไม่น้อยกว่า 300,000 บาท</t>
  </si>
  <si>
    <t>OPD 500 บาท</t>
  </si>
  <si>
    <t>ประกันชีวิตทุน 500,000 บาท</t>
  </si>
  <si>
    <t>GHS 1,400 บาท</t>
  </si>
  <si>
    <t>3.) มีทุนประกันชีวิตส่วนตัวที่บริษัทไม่น้อยกว่า 500,000 บาท</t>
  </si>
  <si>
    <t>บริษัทสมทบ 5% ของ FYC</t>
  </si>
  <si>
    <t>บริษัทฯ จะจ่ายเงินสะสมให้ครั้งเดียว หลังจากทำงานครบ 120 เดือน หรือเสียชีวิต</t>
  </si>
  <si>
    <t>*กรมธรรม์ประเภทอุบัติเหตุส่วนบุคคล(PARD)และกรมธรรม์ประกันภัยกลุ่ม ให้นับผลงานอนุมัติรวม 50%</t>
  </si>
  <si>
    <t>**กรมธรรม์ประเภทอุบัติเหตุส่วนบุคคล(PAS,PASF)  ให้นับผลงานอนุมัติรวม 25%</t>
  </si>
  <si>
    <t>MYB</t>
  </si>
  <si>
    <t>NAB</t>
  </si>
  <si>
    <t>SP</t>
  </si>
  <si>
    <t>ชั่วระยะเวลา 10/10</t>
  </si>
  <si>
    <t>ชั่วระยะเวลา 20/20</t>
  </si>
  <si>
    <t>ไลฟ์  โพรเทคเตอร์ เอ็กซ์ตร้า A90/1</t>
  </si>
  <si>
    <t>ไลฟ์  โพรเทคเตอร์ 5 (A90/5)</t>
  </si>
  <si>
    <t>ไลฟ์  โพรเทคเตอร์ 10 (A90/10)</t>
  </si>
  <si>
    <t>ไลฟ์  โพรเทคเตอร์ 15 (A90/15)</t>
  </si>
  <si>
    <t>ไลฟ์  โพรเทคเตอร์ 20 (A90/20)</t>
  </si>
  <si>
    <t>ไลฟ์ โพรเทคเตอร์ พลัส 20 (A99/20)</t>
  </si>
  <si>
    <t>สุพรีม ไลฟ์  โพรเทคเตอร์ A90/20</t>
  </si>
  <si>
    <t>ตลอดชีพ (ไม่มีเงินปันผล) A99/A90</t>
  </si>
  <si>
    <t>12 ทีเอ็กซ์ A90/12</t>
  </si>
  <si>
    <t>24 ทีเอ็กซ์ A90/24</t>
  </si>
  <si>
    <t>ตลอดชีพ เอ็กซ์ตร้า A90/10</t>
  </si>
  <si>
    <t>ตลอดชีพ เอ็กซ์ตร้า A90/15</t>
  </si>
  <si>
    <t>เกษียณเพิ่มสุข A90/15</t>
  </si>
  <si>
    <t>7 สมาร์ท แพลน (21/7)</t>
  </si>
  <si>
    <t>15 สมาร์ท แพลน (21/15)</t>
  </si>
  <si>
    <t>สมาร์ท เซฟวิ่งส์ 12/4</t>
  </si>
  <si>
    <t>สมาร์ท เซฟวิ่งส์ 15/8</t>
  </si>
  <si>
    <t>เกษียณออมทรัพย์ A60/A55</t>
  </si>
  <si>
    <t>เกษียณออมทรัพย์ A65/A60</t>
  </si>
  <si>
    <t>สเตป เซฟวิ่งส์ A78/6</t>
  </si>
  <si>
    <t>แอนนิวตี้ เรดดี้ A90/5</t>
  </si>
  <si>
    <t>แอนนิวตี้ เรดดี้ A90/A60</t>
  </si>
  <si>
    <t>แอนนิวตี้ เรดดี้ A90/A65</t>
  </si>
  <si>
    <t>บำนาญเพิ่มสุข A85/15</t>
  </si>
  <si>
    <t>บำนาญเพิ่มสุข A85/A55</t>
  </si>
  <si>
    <t xml:space="preserve">K2 (ผลงานส่วนตัว)  </t>
  </si>
  <si>
    <t>RYC1</t>
  </si>
  <si>
    <t>K2</t>
  </si>
  <si>
    <t>MYB =</t>
  </si>
  <si>
    <t>Momthly Bonus (โบนัสรายเดือน)</t>
  </si>
  <si>
    <t>NAB =</t>
  </si>
  <si>
    <t>SP =</t>
  </si>
  <si>
    <t>K2 =</t>
  </si>
  <si>
    <t>Mid Year Bonus (โบนัสครึ่งปี)</t>
  </si>
  <si>
    <t>Career Benefit (ผลประโยชน์จากอาชีพ)</t>
  </si>
  <si>
    <t>New Agent Bonus (โบนัสตัวแทนใหม่)</t>
  </si>
  <si>
    <t>Saving Plan (กองทุนเงินสะสม)</t>
  </si>
  <si>
    <t>(ผลงานส่วนตัว)</t>
  </si>
  <si>
    <t>เงินสะสม (SP)</t>
  </si>
  <si>
    <t>เงินสมทบ (NAB)</t>
  </si>
  <si>
    <t>โบนัสรายเดือน (MB)</t>
  </si>
  <si>
    <t>โบนัสครึ่งปี (MYB)</t>
  </si>
  <si>
    <t>เงินสมทบ
(NAB)</t>
  </si>
  <si>
    <t>เงินสะสม
(SP)</t>
  </si>
  <si>
    <t>ผลประโยชน์จากอาชีพ (CB)</t>
  </si>
  <si>
    <t>โบนัสตัวแทนใหม่  (NAB)</t>
  </si>
  <si>
    <t>กองทุนเงินสะสม (SP)</t>
  </si>
  <si>
    <t>จำนวนราย/เดือน</t>
  </si>
  <si>
    <t>ตารางคำนวณรายได้</t>
  </si>
  <si>
    <t>บาท/ปี</t>
  </si>
  <si>
    <t>โบนัสรายเดือน
(MB)</t>
  </si>
  <si>
    <t>โบนัสครึ่งปี
( MYB )</t>
  </si>
  <si>
    <t>ถ้า K2 &gt;= 85% คิดเพิ่มเป็น 110%</t>
  </si>
  <si>
    <t>ราย/เดือน</t>
  </si>
  <si>
    <t>ราย/3ด.</t>
  </si>
  <si>
    <t>คุณวุฒิสวัสดิการ ปี 2567</t>
  </si>
  <si>
    <t>FYC 100,000 บาท</t>
  </si>
  <si>
    <t>FYC 300,000 บาท</t>
  </si>
  <si>
    <t>FYC 500,000 บาท</t>
  </si>
  <si>
    <t>ประกันชีวิต</t>
  </si>
  <si>
    <t>สุขภาพ (GHS)</t>
  </si>
  <si>
    <t>ผลประโยชน์</t>
  </si>
  <si>
    <t>FYC (Commission)</t>
  </si>
  <si>
    <t>จำนวนราย</t>
  </si>
  <si>
    <t>โบนัสครึ่งปี</t>
  </si>
  <si>
    <t>ON</t>
  </si>
  <si>
    <t>พบคน</t>
  </si>
  <si>
    <t>วัน</t>
  </si>
  <si>
    <t>อายุ</t>
  </si>
  <si>
    <t>อัตราการขาย</t>
  </si>
  <si>
    <t>FYP เฉลี่ย</t>
  </si>
  <si>
    <t>Mobile Control</t>
  </si>
  <si>
    <t>RYC8</t>
  </si>
  <si>
    <t>ขายแบบรายเดือน</t>
  </si>
  <si>
    <t>รูปแบบ</t>
  </si>
  <si>
    <t>4. ผลประโยชน์จากอาชีพ (CB)</t>
  </si>
  <si>
    <t>5. โบนัสตัวแทนใหม่  (NAB)</t>
  </si>
  <si>
    <t>6. ประกันชีวิตและประกันสุขภาพ</t>
  </si>
  <si>
    <t>7. กองทุนเงินสะสม (Saving Plan : SP)</t>
  </si>
  <si>
    <t>ดอกเบี้ย</t>
  </si>
  <si>
    <t>เงินเกษียณ</t>
  </si>
  <si>
    <t>64,001  เป็นต้นไป</t>
  </si>
  <si>
    <t>400,001  เป็นต้นไป</t>
  </si>
  <si>
    <t>ถ้า K2 &gt;= 85% คิดเพิ่มเป็น 110% ของตารางข้างบน (จาก 35% เป็น 38.5% ของ FYC)</t>
  </si>
  <si>
    <t>64,001 เป็นต้นไป</t>
  </si>
  <si>
    <t>400,001 เป็นต้นไป</t>
  </si>
  <si>
    <t>PAS1</t>
  </si>
  <si>
    <t>PAS2</t>
  </si>
  <si>
    <t>PAS3</t>
  </si>
  <si>
    <t>PAS4</t>
  </si>
  <si>
    <t>PAS5</t>
  </si>
  <si>
    <t>PAS6</t>
  </si>
  <si>
    <t>PAS7</t>
  </si>
  <si>
    <t>PAS8</t>
  </si>
  <si>
    <t>PAS</t>
  </si>
  <si>
    <t>PASF</t>
  </si>
  <si>
    <t>PASF1</t>
  </si>
  <si>
    <t>PASF2</t>
  </si>
  <si>
    <t>PASF3</t>
  </si>
  <si>
    <t>PASF4</t>
  </si>
  <si>
    <t>PASF5</t>
  </si>
  <si>
    <t>PASF6</t>
  </si>
  <si>
    <t>PASF7</t>
  </si>
  <si>
    <t>PASF8</t>
  </si>
  <si>
    <t>PARD1</t>
  </si>
  <si>
    <t>รวมรับ</t>
  </si>
  <si>
    <t>ผลประโยชน์ตัวแทน 5 ปี</t>
  </si>
  <si>
    <t>ขายแบบรายปี</t>
  </si>
  <si>
    <t>FYC/ เดือน</t>
  </si>
  <si>
    <t>FYC/ ปี</t>
  </si>
  <si>
    <t>FYP/ ปี</t>
  </si>
  <si>
    <t>FYP/ เดือน</t>
  </si>
  <si>
    <t>FYP/ ราย</t>
  </si>
  <si>
    <t>Cases/ M.</t>
  </si>
  <si>
    <t>นับผลงาน</t>
  </si>
  <si>
    <t>Code</t>
  </si>
  <si>
    <t>10TLA</t>
  </si>
  <si>
    <t>20TLA</t>
  </si>
  <si>
    <t>1LP</t>
  </si>
  <si>
    <t>5LP</t>
  </si>
  <si>
    <t>10LP</t>
  </si>
  <si>
    <t>15LP</t>
  </si>
  <si>
    <t>20LPB</t>
  </si>
  <si>
    <t>20LPPA</t>
  </si>
  <si>
    <t>20SLPA</t>
  </si>
  <si>
    <t>WH90A</t>
  </si>
  <si>
    <t>12TXM</t>
  </si>
  <si>
    <t>24TXN</t>
  </si>
  <si>
    <t>WXN10</t>
  </si>
  <si>
    <t>WXN15</t>
  </si>
  <si>
    <t>RE15</t>
  </si>
  <si>
    <t>7SM</t>
  </si>
  <si>
    <t>15SPN</t>
  </si>
  <si>
    <t>SS12</t>
  </si>
  <si>
    <t>8SS</t>
  </si>
  <si>
    <t>RS60</t>
  </si>
  <si>
    <t>RS65</t>
  </si>
  <si>
    <t>S678</t>
  </si>
  <si>
    <t>AR5N</t>
  </si>
  <si>
    <t>AR60N</t>
  </si>
  <si>
    <t>AR65</t>
  </si>
  <si>
    <t>15HA</t>
  </si>
  <si>
    <t>HA55</t>
  </si>
  <si>
    <t>AS10</t>
  </si>
  <si>
    <t>AS60</t>
  </si>
  <si>
    <t>10CX</t>
  </si>
  <si>
    <t>20CX</t>
  </si>
  <si>
    <t>5SLC</t>
  </si>
  <si>
    <t>10SLB</t>
  </si>
  <si>
    <t>10ES</t>
  </si>
  <si>
    <t>15ES</t>
  </si>
  <si>
    <t>S868</t>
  </si>
  <si>
    <t>S818</t>
  </si>
  <si>
    <t>สเตป แอนนิวตี้ A90/10</t>
  </si>
  <si>
    <t>สเตป แอนนิวตี้ A90/A60</t>
  </si>
  <si>
    <t>ซีไอ เอ็กซ์ตร้า พลัส A90/10</t>
  </si>
  <si>
    <t>ซีไอ เอ็กซ์ตร้า พลัส A90/20</t>
  </si>
  <si>
    <t>ซิกเนเจอร์ เลกาซี 5 (A99/5)</t>
  </si>
  <si>
    <t>ซิกเนเจอร์ เลกาซี 10 (A99/10)</t>
  </si>
  <si>
    <t>โปร เซฟเวอร์ 20/10</t>
  </si>
  <si>
    <t>สตาร์ต เซฟเวอร์ 25/15</t>
  </si>
  <si>
    <t>868 อีลีท เซฟวิ่งส์ A68/8</t>
  </si>
  <si>
    <t>818 อีลีท เซฟวิ่งส์ 18/8</t>
  </si>
  <si>
    <t>Manual</t>
  </si>
  <si>
    <t>ผลงาน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</si>
</sst>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-* #,##0.0_-;\-* #,##0.0_-;_-* &quot;-&quot;?_-;_-@_-"/>
    <numFmt numFmtId="168" formatCode="[$-409]mmm\-yy;@"/>
    <numFmt numFmtId="169" formatCode="###"/>
    <numFmt numFmtId="170" formatCode="####"/>
    <numFmt numFmtId="171" formatCode="#,###"/>
    <numFmt numFmtId="172" formatCode="[$-107041E]d\ mmmm\ yyyy;@"/>
    <numFmt numFmtId="173" formatCode="&quot;฿&quot;#,###"/>
    <numFmt numFmtId="174" formatCode="0.0%"/>
    <numFmt numFmtId="175" formatCode="#,##0_ ;\-#,##0\ "/>
  </numFmts>
  <fonts count="126" x14ac:knownFonts="1">
    <font>
      <sz val="10"/>
      <name val="Arial"/>
      <charset val="222"/>
    </font>
    <font>
      <sz val="10"/>
      <name val="Arial"/>
      <family val="2"/>
    </font>
    <font>
      <sz val="14"/>
      <name val="Cordia New"/>
      <family val="2"/>
    </font>
    <font>
      <sz val="8"/>
      <name val="Arial"/>
      <family val="2"/>
    </font>
    <font>
      <sz val="11"/>
      <color indexed="8"/>
      <name val="Tahoma"/>
      <family val="2"/>
      <charset val="222"/>
    </font>
    <font>
      <sz val="10"/>
      <name val="Arial"/>
      <family val="2"/>
    </font>
    <font>
      <sz val="14"/>
      <name val="Cordia New"/>
      <family val="2"/>
    </font>
    <font>
      <sz val="20"/>
      <name val="Tahoma"/>
      <family val="2"/>
    </font>
    <font>
      <sz val="16"/>
      <name val="DilleniaUPC"/>
      <family val="1"/>
    </font>
    <font>
      <sz val="16"/>
      <name val="DilleniaUPC"/>
      <family val="1"/>
    </font>
    <font>
      <b/>
      <sz val="14"/>
      <name val="AngsanaUPC"/>
      <family val="1"/>
    </font>
    <font>
      <b/>
      <sz val="14"/>
      <color theme="1"/>
      <name val="AngsanaUPC"/>
      <family val="1"/>
    </font>
    <font>
      <b/>
      <sz val="24"/>
      <color theme="0"/>
      <name val="AngsanaUPC"/>
      <family val="1"/>
    </font>
    <font>
      <b/>
      <sz val="20"/>
      <color rgb="FF002060"/>
      <name val="AngsanaUPC"/>
      <family val="1"/>
    </font>
    <font>
      <b/>
      <sz val="18"/>
      <name val="AngsanaUPC"/>
      <family val="1"/>
    </font>
    <font>
      <b/>
      <sz val="22"/>
      <name val="AngsanaUPC"/>
      <family val="1"/>
    </font>
    <font>
      <sz val="20"/>
      <name val="AngsanaUPC"/>
      <family val="1"/>
    </font>
    <font>
      <b/>
      <sz val="26"/>
      <color theme="0"/>
      <name val="AngsanaUPC"/>
      <family val="1"/>
    </font>
    <font>
      <b/>
      <sz val="22"/>
      <color rgb="FF002060"/>
      <name val="AngsanaUPC"/>
      <family val="1"/>
    </font>
    <font>
      <b/>
      <sz val="24"/>
      <color rgb="FF002060"/>
      <name val="AngsanaUPC"/>
      <family val="1"/>
    </font>
    <font>
      <b/>
      <sz val="20"/>
      <color indexed="9"/>
      <name val="AngsanaUPC"/>
      <family val="1"/>
    </font>
    <font>
      <sz val="20"/>
      <color indexed="9"/>
      <name val="AngsanaUPC"/>
      <family val="1"/>
    </font>
    <font>
      <sz val="20"/>
      <color rgb="FF002060"/>
      <name val="AngsanaUPC"/>
      <family val="1"/>
    </font>
    <font>
      <b/>
      <sz val="26"/>
      <name val="AngsanaUPC"/>
      <family val="1"/>
    </font>
    <font>
      <b/>
      <sz val="20"/>
      <name val="AngsanaUPC"/>
      <family val="1"/>
    </font>
    <font>
      <b/>
      <sz val="20"/>
      <color theme="0"/>
      <name val="AngsanaUPC"/>
      <family val="1"/>
    </font>
    <font>
      <b/>
      <sz val="22"/>
      <color theme="0"/>
      <name val="AngsanaUPC"/>
      <family val="1"/>
    </font>
    <font>
      <b/>
      <sz val="24"/>
      <name val="AngsanaUPC"/>
      <family val="1"/>
    </font>
    <font>
      <sz val="22"/>
      <name val="AngsanaUPC"/>
      <family val="1"/>
    </font>
    <font>
      <sz val="28"/>
      <name val="AngsanaUPC"/>
      <family val="1"/>
    </font>
    <font>
      <b/>
      <i/>
      <sz val="28"/>
      <name val="AngsanaUPC"/>
      <family val="1"/>
    </font>
    <font>
      <b/>
      <sz val="28"/>
      <name val="AngsanaUPC"/>
      <family val="1"/>
    </font>
    <font>
      <b/>
      <sz val="28"/>
      <color rgb="FF002060"/>
      <name val="AngsanaUPC"/>
      <family val="1"/>
    </font>
    <font>
      <b/>
      <sz val="28"/>
      <color indexed="10"/>
      <name val="AngsanaUPC"/>
      <family val="1"/>
    </font>
    <font>
      <b/>
      <sz val="28"/>
      <color theme="0"/>
      <name val="AngsanaUPC"/>
      <family val="1"/>
    </font>
    <font>
      <b/>
      <sz val="26"/>
      <color indexed="53"/>
      <name val="AngsanaUPC"/>
      <family val="1"/>
    </font>
    <font>
      <b/>
      <sz val="36"/>
      <name val="AngsanaUPC"/>
      <family val="1"/>
    </font>
    <font>
      <b/>
      <sz val="28"/>
      <color indexed="13"/>
      <name val="AngsanaUPC"/>
      <family val="1"/>
    </font>
    <font>
      <sz val="28"/>
      <color indexed="15"/>
      <name val="AngsanaUPC"/>
      <family val="1"/>
    </font>
    <font>
      <b/>
      <sz val="28"/>
      <color indexed="18"/>
      <name val="AngsanaUPC"/>
      <family val="1"/>
    </font>
    <font>
      <b/>
      <sz val="28"/>
      <color indexed="15"/>
      <name val="AngsanaUPC"/>
      <family val="1"/>
    </font>
    <font>
      <b/>
      <sz val="28"/>
      <color indexed="14"/>
      <name val="AngsanaUPC"/>
      <family val="1"/>
    </font>
    <font>
      <b/>
      <sz val="28"/>
      <color indexed="9"/>
      <name val="AngsanaUPC"/>
      <family val="1"/>
    </font>
    <font>
      <b/>
      <i/>
      <sz val="28"/>
      <color indexed="13"/>
      <name val="AngsanaUPC"/>
      <family val="1"/>
    </font>
    <font>
      <sz val="28"/>
      <color indexed="13"/>
      <name val="AngsanaUPC"/>
      <family val="1"/>
    </font>
    <font>
      <sz val="26"/>
      <name val="AngsanaUPC"/>
      <family val="1"/>
    </font>
    <font>
      <b/>
      <sz val="26"/>
      <color rgb="FF002060"/>
      <name val="AngsanaUPC"/>
      <family val="1"/>
    </font>
    <font>
      <sz val="26"/>
      <color indexed="9"/>
      <name val="AngsanaUPC"/>
      <family val="1"/>
    </font>
    <font>
      <sz val="26"/>
      <color rgb="FF0070C0"/>
      <name val="AngsanaUPC"/>
      <family val="1"/>
    </font>
    <font>
      <sz val="26"/>
      <color rgb="FF7030A0"/>
      <name val="AngsanaUPC"/>
      <family val="1"/>
    </font>
    <font>
      <sz val="26"/>
      <color rgb="FF002060"/>
      <name val="AngsanaUPC"/>
      <family val="1"/>
    </font>
    <font>
      <b/>
      <sz val="26"/>
      <color indexed="9"/>
      <name val="AngsanaUPC"/>
      <family val="1"/>
    </font>
    <font>
      <b/>
      <sz val="26"/>
      <color indexed="13"/>
      <name val="AngsanaUPC"/>
      <family val="1"/>
    </font>
    <font>
      <sz val="26"/>
      <color theme="0"/>
      <name val="AngsanaUPC"/>
      <family val="1"/>
    </font>
    <font>
      <sz val="26"/>
      <color theme="8" tint="-0.499984740745262"/>
      <name val="AngsanaUPC"/>
      <family val="1"/>
    </font>
    <font>
      <sz val="26"/>
      <color indexed="13"/>
      <name val="AngsanaUPC"/>
      <family val="1"/>
    </font>
    <font>
      <sz val="26"/>
      <color indexed="12"/>
      <name val="AngsanaUPC"/>
      <family val="1"/>
    </font>
    <font>
      <sz val="18"/>
      <name val="AngsanaUPC"/>
      <family val="1"/>
    </font>
    <font>
      <b/>
      <u/>
      <sz val="26"/>
      <name val="AngsanaUPC"/>
      <family val="1"/>
    </font>
    <font>
      <sz val="18"/>
      <color theme="8" tint="-0.499984740745262"/>
      <name val="AngsanaUPC"/>
      <family val="1"/>
    </font>
    <font>
      <sz val="24"/>
      <name val="AngsanaUPC"/>
      <family val="1"/>
    </font>
    <font>
      <sz val="14"/>
      <name val="AngsanaUPC"/>
      <family val="1"/>
    </font>
    <font>
      <sz val="14"/>
      <color rgb="FF002060"/>
      <name val="AngsanaUPC"/>
      <family val="1"/>
    </font>
    <font>
      <sz val="14"/>
      <color indexed="9"/>
      <name val="AngsanaUPC"/>
      <family val="1"/>
    </font>
    <font>
      <sz val="16"/>
      <color indexed="9"/>
      <name val="AngsanaUPC"/>
      <family val="1"/>
    </font>
    <font>
      <sz val="22"/>
      <color indexed="9"/>
      <name val="AngsanaUPC"/>
      <family val="1"/>
    </font>
    <font>
      <sz val="24"/>
      <color indexed="9"/>
      <name val="AngsanaUPC"/>
      <family val="1"/>
    </font>
    <font>
      <b/>
      <sz val="22"/>
      <color indexed="9"/>
      <name val="AngsanaUPC"/>
      <family val="1"/>
    </font>
    <font>
      <sz val="26"/>
      <color indexed="18"/>
      <name val="AngsanaUPC"/>
      <family val="1"/>
    </font>
    <font>
      <sz val="26"/>
      <color indexed="17"/>
      <name val="AngsanaUPC"/>
      <family val="1"/>
    </font>
    <font>
      <b/>
      <sz val="18"/>
      <color theme="0"/>
      <name val="AngsanaUPC"/>
      <family val="1"/>
    </font>
    <font>
      <b/>
      <sz val="36"/>
      <color theme="0"/>
      <name val="AngsanaUPC"/>
      <family val="1"/>
    </font>
    <font>
      <b/>
      <sz val="26"/>
      <color rgb="FFC00000"/>
      <name val="AngsanaUPC"/>
      <family val="1"/>
    </font>
    <font>
      <b/>
      <sz val="28"/>
      <color rgb="FF8E1230"/>
      <name val="AngsanaUPC"/>
      <family val="1"/>
    </font>
    <font>
      <b/>
      <sz val="36"/>
      <color rgb="FF8E1230"/>
      <name val="AngsanaUPC"/>
      <family val="1"/>
    </font>
    <font>
      <b/>
      <sz val="24"/>
      <color rgb="FF8E1230"/>
      <name val="AngsanaUPC"/>
      <family val="1"/>
    </font>
    <font>
      <b/>
      <sz val="28"/>
      <color rgb="FFC00000"/>
      <name val="AngsanaUPC"/>
      <family val="1"/>
    </font>
    <font>
      <b/>
      <sz val="28"/>
      <color rgb="FFC06E65"/>
      <name val="AngsanaUPC"/>
      <family val="1"/>
    </font>
    <font>
      <b/>
      <sz val="26"/>
      <color rgb="FF8E1230"/>
      <name val="AngsanaUPC"/>
      <family val="1"/>
    </font>
    <font>
      <sz val="26"/>
      <color rgb="FF8E1230"/>
      <name val="AngsanaUPC"/>
      <family val="1"/>
    </font>
    <font>
      <sz val="28"/>
      <color indexed="9"/>
      <name val="AngsanaUPC"/>
      <family val="1"/>
    </font>
    <font>
      <sz val="28"/>
      <color rgb="FF002060"/>
      <name val="AngsanaUPC"/>
      <family val="1"/>
    </font>
    <font>
      <sz val="28"/>
      <color rgb="FF8E1230"/>
      <name val="AngsanaUPC"/>
      <family val="1"/>
    </font>
    <font>
      <sz val="28"/>
      <color theme="0"/>
      <name val="AngsanaUPC"/>
      <family val="1"/>
    </font>
    <font>
      <b/>
      <sz val="22"/>
      <color rgb="FF8E1230"/>
      <name val="AngsanaUPC"/>
      <family val="1"/>
    </font>
    <font>
      <b/>
      <sz val="20"/>
      <color theme="1" tint="0.249977111117893"/>
      <name val="AngsanaUPC"/>
      <family val="1"/>
    </font>
    <font>
      <b/>
      <sz val="22"/>
      <color theme="1"/>
      <name val="AngsanaUPC"/>
      <family val="1"/>
    </font>
    <font>
      <b/>
      <sz val="22"/>
      <color theme="1" tint="0.249977111117893"/>
      <name val="AngsanaUPC"/>
      <family val="1"/>
    </font>
    <font>
      <b/>
      <sz val="26"/>
      <color theme="5" tint="-0.499984740745262"/>
      <name val="AngsanaUPC"/>
      <family val="1"/>
    </font>
    <font>
      <b/>
      <sz val="26"/>
      <color theme="5"/>
      <name val="AngsanaUPC"/>
      <family val="1"/>
    </font>
    <font>
      <b/>
      <sz val="26"/>
      <color theme="1" tint="0.249977111117893"/>
      <name val="AngsanaUPC"/>
      <family val="1"/>
    </font>
    <font>
      <sz val="26"/>
      <color theme="1" tint="0.249977111117893"/>
      <name val="AngsanaUPC"/>
      <family val="1"/>
    </font>
    <font>
      <b/>
      <sz val="28"/>
      <color theme="1" tint="0.34998626667073579"/>
      <name val="AngsanaUPC"/>
      <family val="1"/>
    </font>
    <font>
      <b/>
      <sz val="28"/>
      <color theme="1" tint="0.249977111117893"/>
      <name val="AngsanaUPC"/>
      <family val="1"/>
    </font>
    <font>
      <b/>
      <sz val="28"/>
      <color theme="5"/>
      <name val="AngsanaUPC"/>
      <family val="1"/>
    </font>
    <font>
      <b/>
      <sz val="28"/>
      <color theme="5" tint="-0.499984740745262"/>
      <name val="AngsanaUPC"/>
      <family val="1"/>
    </font>
    <font>
      <b/>
      <sz val="24"/>
      <color theme="1" tint="0.34998626667073579"/>
      <name val="AngsanaUPC"/>
      <family val="1"/>
    </font>
    <font>
      <b/>
      <sz val="24"/>
      <color theme="1" tint="0.249977111117893"/>
      <name val="AngsanaUPC"/>
      <family val="1"/>
    </font>
    <font>
      <b/>
      <u/>
      <sz val="28"/>
      <name val="AngsanaUPC"/>
      <family val="1"/>
    </font>
    <font>
      <b/>
      <u/>
      <sz val="24"/>
      <name val="AngsanaUPC"/>
      <family val="1"/>
    </font>
    <font>
      <b/>
      <sz val="9"/>
      <color indexed="81"/>
      <name val="Tahoma"/>
      <family val="2"/>
    </font>
    <font>
      <b/>
      <u/>
      <sz val="26"/>
      <color rgb="FF002060"/>
      <name val="AngsanaUPC"/>
      <family val="1"/>
    </font>
    <font>
      <b/>
      <sz val="26"/>
      <color rgb="FF0070C0"/>
      <name val="AngsanaUPC"/>
      <family val="1"/>
    </font>
    <font>
      <b/>
      <sz val="28"/>
      <color rgb="FF0070C0"/>
      <name val="AngsanaUPC"/>
      <family val="1"/>
    </font>
    <font>
      <b/>
      <sz val="26"/>
      <color rgb="FF00B0F0"/>
      <name val="AngsanaUPC"/>
      <family val="1"/>
    </font>
    <font>
      <b/>
      <sz val="22"/>
      <color rgb="FF0070C0"/>
      <name val="AngsanaUPC"/>
      <family val="1"/>
    </font>
    <font>
      <b/>
      <sz val="20"/>
      <color rgb="FF0070C0"/>
      <name val="AngsanaUPC"/>
      <family val="1"/>
    </font>
    <font>
      <sz val="22"/>
      <color theme="0"/>
      <name val="AngsanaUPC"/>
      <family val="1"/>
    </font>
    <font>
      <sz val="24"/>
      <color rgb="FFFF0000"/>
      <name val="AngsanaUPC"/>
      <family val="1"/>
    </font>
    <font>
      <u/>
      <sz val="10"/>
      <color theme="10"/>
      <name val="Arial"/>
      <family val="2"/>
    </font>
    <font>
      <sz val="18"/>
      <color indexed="81"/>
      <name val="Tahoma"/>
      <family val="2"/>
    </font>
    <font>
      <b/>
      <sz val="36"/>
      <color theme="6" tint="-0.499984740745262"/>
      <name val="AngsanaUPC"/>
      <family val="1"/>
    </font>
    <font>
      <b/>
      <sz val="28"/>
      <color theme="6" tint="-0.499984740745262"/>
      <name val="AngsanaUPC"/>
      <family val="1"/>
    </font>
    <font>
      <b/>
      <sz val="32"/>
      <color theme="7"/>
      <name val="AngsanaUPC"/>
      <family val="1"/>
    </font>
    <font>
      <b/>
      <sz val="36"/>
      <color theme="7"/>
      <name val="AngsanaUPC"/>
      <family val="1"/>
    </font>
    <font>
      <b/>
      <sz val="28"/>
      <color theme="7"/>
      <name val="AngsanaUPC"/>
      <family val="1"/>
    </font>
    <font>
      <b/>
      <sz val="30"/>
      <color theme="7"/>
      <name val="AngsanaUPC"/>
      <family val="1"/>
    </font>
    <font>
      <b/>
      <sz val="36"/>
      <color rgb="FFC00000"/>
      <name val="AngsanaUPC"/>
      <family val="1"/>
    </font>
    <font>
      <b/>
      <sz val="36"/>
      <color rgb="FF0070C0"/>
      <name val="AngsanaUPC"/>
      <family val="1"/>
    </font>
    <font>
      <b/>
      <sz val="36"/>
      <color theme="1"/>
      <name val="AngsanaUPC"/>
      <family val="1"/>
    </font>
    <font>
      <b/>
      <sz val="48"/>
      <color theme="0"/>
      <name val="AngsanaUPC"/>
      <family val="1"/>
    </font>
    <font>
      <b/>
      <sz val="36"/>
      <color indexed="9"/>
      <name val="AngsanaUPC"/>
      <family val="1"/>
    </font>
    <font>
      <sz val="10"/>
      <name val="Tahoma"/>
      <family val="2"/>
    </font>
    <font>
      <sz val="10"/>
      <color theme="0"/>
      <name val="Tahoma"/>
      <family val="2"/>
    </font>
    <font>
      <sz val="10"/>
      <color rgb="FF000000"/>
      <name val="Tahoma"/>
      <family val="2"/>
    </font>
    <font>
      <sz val="10"/>
      <color theme="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E1230"/>
        <bgColor indexed="64"/>
      </patternFill>
    </fill>
    <fill>
      <patternFill patternType="solid">
        <fgColor rgb="FF75212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indexed="64"/>
      </patternFill>
    </fill>
  </fills>
  <borders count="1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thin">
        <color indexed="64"/>
      </left>
      <right style="medium">
        <color auto="1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dotted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dotted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dotted">
        <color theme="1" tint="0.24994659260841701"/>
      </top>
      <bottom style="dotted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dotted">
        <color theme="1" tint="0.24994659260841701"/>
      </top>
      <bottom style="dotted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dotted">
        <color theme="1" tint="0.24994659260841701"/>
      </top>
      <bottom style="dotted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dotted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dotted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dotted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/>
      <bottom style="dotted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dotted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tted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tted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dotted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dotted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dotted">
        <color theme="1" tint="0.24994659260841701"/>
      </top>
      <bottom style="dotted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dotted">
        <color theme="1" tint="0.24994659260841701"/>
      </top>
      <bottom style="medium">
        <color rgb="FFFF0000"/>
      </bottom>
      <diagonal/>
    </border>
    <border>
      <left style="medium">
        <color theme="1" tint="0.24994659260841701"/>
      </left>
      <right style="medium">
        <color theme="1" tint="0.24994659260841701"/>
      </right>
      <top style="dotted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hair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hair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/>
      <diagonal/>
    </border>
    <border>
      <left/>
      <right/>
      <top style="medium">
        <color theme="1" tint="0.24994659260841701"/>
      </top>
      <bottom/>
      <diagonal/>
    </border>
    <border>
      <left style="medium">
        <color theme="1" tint="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24994659260841701"/>
      </right>
      <top style="thin">
        <color indexed="64"/>
      </top>
      <bottom style="thin">
        <color indexed="64"/>
      </bottom>
      <diagonal/>
    </border>
    <border>
      <left style="medium">
        <color theme="1" tint="0.24994659260841701"/>
      </left>
      <right/>
      <top style="thin">
        <color indexed="64"/>
      </top>
      <bottom style="medium">
        <color theme="1" tint="0.24994659260841701"/>
      </bottom>
      <diagonal/>
    </border>
    <border>
      <left/>
      <right style="thin">
        <color auto="1"/>
      </right>
      <top style="thin">
        <color indexed="64"/>
      </top>
      <bottom style="medium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0.24994659260841701"/>
      </bottom>
      <diagonal/>
    </border>
    <border>
      <left style="thin">
        <color indexed="64"/>
      </left>
      <right style="medium">
        <color theme="1" tint="0.24994659260841701"/>
      </right>
      <top style="thin">
        <color indexed="64"/>
      </top>
      <bottom style="medium">
        <color theme="1" tint="0.24994659260841701"/>
      </bottom>
      <diagonal/>
    </border>
    <border>
      <left style="thin">
        <color indexed="64"/>
      </left>
      <right style="medium">
        <color theme="1" tint="0.24994659260841701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theme="1" tint="0.24994659260841701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theme="1" tint="0.24994659260841701"/>
      </right>
      <top style="dotted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dotted">
        <color theme="1" tint="0.24994659260841701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dotted">
        <color theme="1" tint="0.24994659260841701"/>
      </bottom>
      <diagonal/>
    </border>
    <border>
      <left style="medium">
        <color theme="1" tint="0.24994659260841701"/>
      </left>
      <right/>
      <top style="dotted">
        <color theme="1" tint="0.24994659260841701"/>
      </top>
      <bottom style="dotted">
        <color theme="1" tint="0.24994659260841701"/>
      </bottom>
      <diagonal/>
    </border>
    <border>
      <left/>
      <right style="medium">
        <color theme="1" tint="0.24994659260841701"/>
      </right>
      <top style="dotted">
        <color theme="1" tint="0.24994659260841701"/>
      </top>
      <bottom style="dotted">
        <color theme="1" tint="0.24994659260841701"/>
      </bottom>
      <diagonal/>
    </border>
    <border>
      <left style="medium">
        <color theme="1" tint="0.24994659260841701"/>
      </left>
      <right/>
      <top style="dotted">
        <color theme="1" tint="0.24994659260841701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dotted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theme="1" tint="0.24994659260841701"/>
      </top>
      <bottom style="dotted">
        <color theme="1" tint="0.24994659260841701"/>
      </bottom>
      <diagonal/>
    </border>
    <border>
      <left/>
      <right/>
      <top style="dotted">
        <color theme="1" tint="0.24994659260841701"/>
      </top>
      <bottom style="dotted">
        <color theme="1" tint="0.24994659260841701"/>
      </bottom>
      <diagonal/>
    </border>
    <border>
      <left/>
      <right/>
      <top style="dotted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dotted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dotted">
        <color theme="1" tint="0.24994659260841701"/>
      </top>
      <bottom/>
      <diagonal/>
    </border>
    <border>
      <left style="thin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indexed="64"/>
      </bottom>
      <diagonal/>
    </border>
    <border>
      <left/>
      <right/>
      <top style="dotted">
        <color auto="1"/>
      </top>
      <bottom style="medium">
        <color indexed="64"/>
      </bottom>
      <diagonal/>
    </border>
    <border>
      <left/>
      <right style="thin">
        <color indexed="64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theme="1" tint="0.24994659260841701"/>
      </left>
      <right/>
      <top/>
      <bottom style="thin">
        <color indexed="64"/>
      </bottom>
      <diagonal/>
    </border>
    <border>
      <left style="thin">
        <color theme="1" tint="0.24994659260841701"/>
      </left>
      <right style="medium">
        <color theme="1" tint="0.24994659260841701"/>
      </right>
      <top/>
      <bottom style="thin">
        <color indexed="64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2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4" fillId="0" borderId="0"/>
    <xf numFmtId="0" fontId="2" fillId="0" borderId="0"/>
    <xf numFmtId="0" fontId="8" fillId="0" borderId="0">
      <alignment horizontal="center" vertical="center" shrinkToFit="1"/>
    </xf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>
      <alignment horizontal="center" vertical="center" shrinkToFit="1"/>
    </xf>
    <xf numFmtId="9" fontId="8" fillId="0" borderId="0" applyFont="0" applyFill="0" applyBorder="0" applyAlignment="0" applyProtection="0"/>
    <xf numFmtId="0" fontId="9" fillId="0" borderId="0">
      <alignment horizontal="center" vertical="center" shrinkToFit="1"/>
    </xf>
    <xf numFmtId="165" fontId="8" fillId="0" borderId="0" applyFont="0" applyFill="0" applyBorder="0" applyAlignment="0" applyProtection="0"/>
    <xf numFmtId="0" fontId="109" fillId="0" borderId="0" applyNumberFormat="0" applyFill="0" applyBorder="0" applyAlignment="0" applyProtection="0"/>
  </cellStyleXfs>
  <cellXfs count="1367">
    <xf numFmtId="0" fontId="0" fillId="0" borderId="0" xfId="0"/>
    <xf numFmtId="0" fontId="10" fillId="0" borderId="0" xfId="41" applyFont="1" applyProtection="1">
      <alignment horizontal="center" vertical="center" shrinkToFit="1"/>
      <protection hidden="1"/>
    </xf>
    <xf numFmtId="0" fontId="16" fillId="0" borderId="0" xfId="39" applyFont="1" applyProtection="1">
      <alignment horizontal="center" vertical="center" shrinkToFit="1"/>
      <protection hidden="1"/>
    </xf>
    <xf numFmtId="0" fontId="20" fillId="0" borderId="0" xfId="39" applyFont="1" applyAlignment="1" applyProtection="1">
      <alignment vertical="center" shrinkToFit="1"/>
      <protection hidden="1"/>
    </xf>
    <xf numFmtId="9" fontId="21" fillId="0" borderId="0" xfId="40" applyFont="1" applyFill="1" applyBorder="1" applyAlignment="1" applyProtection="1">
      <alignment horizontal="center" vertical="center" shrinkToFit="1"/>
      <protection hidden="1"/>
    </xf>
    <xf numFmtId="0" fontId="22" fillId="0" borderId="0" xfId="39" applyFont="1" applyProtection="1">
      <alignment horizontal="center" vertical="center" shrinkToFit="1"/>
      <protection hidden="1"/>
    </xf>
    <xf numFmtId="0" fontId="16" fillId="5" borderId="0" xfId="39" applyFont="1" applyFill="1" applyProtection="1">
      <alignment horizontal="center" vertical="center" shrinkToFit="1"/>
      <protection hidden="1"/>
    </xf>
    <xf numFmtId="0" fontId="37" fillId="0" borderId="0" xfId="29" applyFont="1" applyAlignment="1" applyProtection="1">
      <alignment horizontal="center" vertical="center" shrinkToFit="1"/>
      <protection hidden="1"/>
    </xf>
    <xf numFmtId="0" fontId="38" fillId="0" borderId="0" xfId="29" applyFont="1" applyAlignment="1" applyProtection="1">
      <alignment horizontal="left" vertical="center" shrinkToFit="1"/>
      <protection hidden="1"/>
    </xf>
    <xf numFmtId="0" fontId="39" fillId="0" borderId="0" xfId="29" applyFont="1" applyAlignment="1" applyProtection="1">
      <alignment horizontal="center" vertical="center" shrinkToFit="1"/>
      <protection hidden="1"/>
    </xf>
    <xf numFmtId="167" fontId="37" fillId="0" borderId="0" xfId="29" applyNumberFormat="1" applyFont="1" applyAlignment="1" applyProtection="1">
      <alignment horizontal="left" vertical="center" shrinkToFit="1"/>
      <protection hidden="1"/>
    </xf>
    <xf numFmtId="41" fontId="37" fillId="0" borderId="0" xfId="29" applyNumberFormat="1" applyFont="1" applyAlignment="1" applyProtection="1">
      <alignment horizontal="left" vertical="center" shrinkToFit="1"/>
      <protection hidden="1"/>
    </xf>
    <xf numFmtId="167" fontId="40" fillId="0" borderId="0" xfId="29" applyNumberFormat="1" applyFont="1" applyAlignment="1" applyProtection="1">
      <alignment horizontal="left" vertical="center" shrinkToFit="1"/>
      <protection hidden="1"/>
    </xf>
    <xf numFmtId="41" fontId="40" fillId="0" borderId="0" xfId="29" applyNumberFormat="1" applyFont="1" applyAlignment="1" applyProtection="1">
      <alignment horizontal="left" vertical="center" shrinkToFit="1"/>
      <protection hidden="1"/>
    </xf>
    <xf numFmtId="0" fontId="31" fillId="0" borderId="0" xfId="29" applyFont="1" applyAlignment="1" applyProtection="1">
      <alignment horizontal="center" vertical="center" shrinkToFit="1"/>
      <protection hidden="1"/>
    </xf>
    <xf numFmtId="41" fontId="41" fillId="0" borderId="0" xfId="29" applyNumberFormat="1" applyFont="1" applyAlignment="1" applyProtection="1">
      <alignment horizontal="left" vertical="center" shrinkToFit="1"/>
      <protection hidden="1"/>
    </xf>
    <xf numFmtId="167" fontId="42" fillId="0" borderId="0" xfId="29" applyNumberFormat="1" applyFont="1" applyAlignment="1" applyProtection="1">
      <alignment horizontal="left" vertical="center" shrinkToFit="1"/>
      <protection hidden="1"/>
    </xf>
    <xf numFmtId="41" fontId="42" fillId="0" borderId="0" xfId="29" applyNumberFormat="1" applyFont="1" applyAlignment="1" applyProtection="1">
      <alignment horizontal="left" vertical="center" shrinkToFit="1"/>
      <protection hidden="1"/>
    </xf>
    <xf numFmtId="0" fontId="33" fillId="0" borderId="0" xfId="29" applyFont="1" applyAlignment="1" applyProtection="1">
      <alignment horizontal="center" vertical="center" shrinkToFit="1"/>
      <protection hidden="1"/>
    </xf>
    <xf numFmtId="0" fontId="37" fillId="0" borderId="0" xfId="29" applyFont="1" applyAlignment="1" applyProtection="1">
      <alignment horizontal="left" vertical="center" shrinkToFit="1"/>
      <protection hidden="1"/>
    </xf>
    <xf numFmtId="0" fontId="43" fillId="0" borderId="0" xfId="29" applyFont="1" applyAlignment="1" applyProtection="1">
      <alignment horizontal="left" vertical="center" shrinkToFit="1"/>
      <protection hidden="1"/>
    </xf>
    <xf numFmtId="0" fontId="39" fillId="0" borderId="0" xfId="29" applyFont="1" applyAlignment="1" applyProtection="1">
      <alignment horizontal="left" vertical="center" shrinkToFit="1"/>
      <protection hidden="1"/>
    </xf>
    <xf numFmtId="0" fontId="45" fillId="0" borderId="0" xfId="30" applyFont="1" applyAlignment="1" applyProtection="1">
      <alignment vertical="center"/>
      <protection hidden="1"/>
    </xf>
    <xf numFmtId="0" fontId="45" fillId="3" borderId="0" xfId="30" applyFont="1" applyFill="1" applyAlignment="1" applyProtection="1">
      <alignment vertical="center"/>
      <protection hidden="1"/>
    </xf>
    <xf numFmtId="0" fontId="23" fillId="3" borderId="12" xfId="30" applyFont="1" applyFill="1" applyBorder="1" applyAlignment="1" applyProtection="1">
      <alignment horizontal="center" vertical="center"/>
      <protection hidden="1"/>
    </xf>
    <xf numFmtId="171" fontId="23" fillId="3" borderId="11" xfId="30" applyNumberFormat="1" applyFont="1" applyFill="1" applyBorder="1" applyAlignment="1" applyProtection="1">
      <alignment horizontal="center" vertical="center"/>
      <protection hidden="1"/>
    </xf>
    <xf numFmtId="171" fontId="23" fillId="3" borderId="16" xfId="30" applyNumberFormat="1" applyFont="1" applyFill="1" applyBorder="1" applyAlignment="1" applyProtection="1">
      <alignment horizontal="center" vertical="center"/>
      <protection hidden="1"/>
    </xf>
    <xf numFmtId="0" fontId="23" fillId="3" borderId="0" xfId="30" applyFont="1" applyFill="1" applyAlignment="1" applyProtection="1">
      <alignment horizontal="center" vertical="center"/>
      <protection hidden="1"/>
    </xf>
    <xf numFmtId="171" fontId="23" fillId="3" borderId="9" xfId="30" applyNumberFormat="1" applyFont="1" applyFill="1" applyBorder="1" applyAlignment="1" applyProtection="1">
      <alignment horizontal="center" vertical="center"/>
      <protection hidden="1"/>
    </xf>
    <xf numFmtId="171" fontId="23" fillId="3" borderId="0" xfId="30" applyNumberFormat="1" applyFont="1" applyFill="1" applyAlignment="1" applyProtection="1">
      <alignment horizontal="center" vertical="center" shrinkToFit="1"/>
      <protection hidden="1"/>
    </xf>
    <xf numFmtId="0" fontId="45" fillId="0" borderId="0" xfId="28" applyFont="1" applyProtection="1">
      <alignment horizontal="center" vertical="center" shrinkToFit="1"/>
      <protection hidden="1"/>
    </xf>
    <xf numFmtId="164" fontId="23" fillId="0" borderId="0" xfId="28" applyNumberFormat="1" applyFont="1" applyProtection="1">
      <alignment horizontal="center" vertical="center" shrinkToFit="1"/>
      <protection hidden="1"/>
    </xf>
    <xf numFmtId="0" fontId="23" fillId="0" borderId="0" xfId="28" applyFont="1" applyProtection="1">
      <alignment horizontal="center" vertical="center" shrinkToFit="1"/>
      <protection hidden="1"/>
    </xf>
    <xf numFmtId="0" fontId="45" fillId="3" borderId="0" xfId="28" applyFont="1" applyFill="1" applyProtection="1">
      <alignment horizontal="center" vertical="center" shrinkToFit="1"/>
      <protection hidden="1"/>
    </xf>
    <xf numFmtId="0" fontId="23" fillId="0" borderId="0" xfId="30" applyFont="1" applyAlignment="1" applyProtection="1">
      <alignment vertical="center"/>
      <protection hidden="1"/>
    </xf>
    <xf numFmtId="171" fontId="23" fillId="0" borderId="0" xfId="30" applyNumberFormat="1" applyFont="1" applyAlignment="1" applyProtection="1">
      <alignment horizontal="center" vertical="center" shrinkToFit="1"/>
      <protection locked="0" hidden="1"/>
    </xf>
    <xf numFmtId="0" fontId="23" fillId="0" borderId="0" xfId="30" applyFont="1" applyAlignment="1" applyProtection="1">
      <alignment horizontal="center" vertical="center"/>
      <protection hidden="1"/>
    </xf>
    <xf numFmtId="0" fontId="23" fillId="0" borderId="0" xfId="28" applyFont="1" applyAlignment="1" applyProtection="1">
      <alignment horizontal="left" vertical="center" shrinkToFit="1"/>
      <protection hidden="1"/>
    </xf>
    <xf numFmtId="0" fontId="45" fillId="5" borderId="0" xfId="28" applyFont="1" applyFill="1" applyProtection="1">
      <alignment horizontal="center" vertical="center" shrinkToFit="1"/>
      <protection hidden="1"/>
    </xf>
    <xf numFmtId="0" fontId="23" fillId="5" borderId="0" xfId="30" applyFont="1" applyFill="1" applyAlignment="1" applyProtection="1">
      <alignment vertical="center"/>
      <protection hidden="1"/>
    </xf>
    <xf numFmtId="164" fontId="23" fillId="3" borderId="0" xfId="28" applyNumberFormat="1" applyFont="1" applyFill="1" applyProtection="1">
      <alignment horizontal="center" vertical="center" shrinkToFit="1"/>
      <protection hidden="1"/>
    </xf>
    <xf numFmtId="0" fontId="23" fillId="3" borderId="0" xfId="28" applyFont="1" applyFill="1" applyProtection="1">
      <alignment horizontal="center" vertical="center" shrinkToFit="1"/>
      <protection hidden="1"/>
    </xf>
    <xf numFmtId="1" fontId="23" fillId="0" borderId="0" xfId="30" applyNumberFormat="1" applyFont="1" applyAlignment="1" applyProtection="1">
      <alignment horizontal="right" vertical="center"/>
      <protection hidden="1"/>
    </xf>
    <xf numFmtId="0" fontId="23" fillId="0" borderId="0" xfId="30" applyFont="1" applyAlignment="1" applyProtection="1">
      <alignment horizontal="center" vertical="center" shrinkToFit="1"/>
      <protection hidden="1"/>
    </xf>
    <xf numFmtId="2" fontId="45" fillId="0" borderId="0" xfId="30" applyNumberFormat="1" applyFont="1" applyAlignment="1" applyProtection="1">
      <alignment horizontal="center" vertical="center"/>
      <protection hidden="1"/>
    </xf>
    <xf numFmtId="2" fontId="45" fillId="0" borderId="0" xfId="30" applyNumberFormat="1" applyFont="1" applyAlignment="1" applyProtection="1">
      <alignment vertical="center"/>
      <protection hidden="1"/>
    </xf>
    <xf numFmtId="0" fontId="45" fillId="0" borderId="0" xfId="30" applyFont="1" applyAlignment="1" applyProtection="1">
      <alignment horizontal="center" vertical="center"/>
      <protection hidden="1"/>
    </xf>
    <xf numFmtId="171" fontId="23" fillId="0" borderId="0" xfId="30" applyNumberFormat="1" applyFont="1" applyAlignment="1" applyProtection="1">
      <alignment horizontal="center" vertical="center"/>
      <protection hidden="1"/>
    </xf>
    <xf numFmtId="1" fontId="23" fillId="0" borderId="0" xfId="30" applyNumberFormat="1" applyFont="1" applyAlignment="1" applyProtection="1">
      <alignment vertical="center"/>
      <protection hidden="1"/>
    </xf>
    <xf numFmtId="166" fontId="23" fillId="0" borderId="0" xfId="8" applyNumberFormat="1" applyFont="1" applyFill="1" applyBorder="1" applyAlignment="1" applyProtection="1">
      <alignment vertical="center"/>
      <protection hidden="1"/>
    </xf>
    <xf numFmtId="0" fontId="45" fillId="4" borderId="0" xfId="30" applyFont="1" applyFill="1" applyAlignment="1" applyProtection="1">
      <alignment horizontal="center" vertical="center"/>
      <protection hidden="1"/>
    </xf>
    <xf numFmtId="171" fontId="23" fillId="3" borderId="15" xfId="30" applyNumberFormat="1" applyFont="1" applyFill="1" applyBorder="1" applyAlignment="1" applyProtection="1">
      <alignment horizontal="center" vertical="center" shrinkToFit="1"/>
      <protection hidden="1"/>
    </xf>
    <xf numFmtId="171" fontId="23" fillId="3" borderId="13" xfId="30" applyNumberFormat="1" applyFont="1" applyFill="1" applyBorder="1" applyAlignment="1" applyProtection="1">
      <alignment horizontal="center" vertical="center" shrinkToFit="1"/>
      <protection hidden="1"/>
    </xf>
    <xf numFmtId="171" fontId="23" fillId="3" borderId="31" xfId="30" applyNumberFormat="1" applyFont="1" applyFill="1" applyBorder="1" applyAlignment="1" applyProtection="1">
      <alignment horizontal="center" vertical="center" shrinkToFit="1"/>
      <protection hidden="1"/>
    </xf>
    <xf numFmtId="171" fontId="23" fillId="3" borderId="27" xfId="30" applyNumberFormat="1" applyFont="1" applyFill="1" applyBorder="1" applyAlignment="1" applyProtection="1">
      <alignment horizontal="center" vertical="center" shrinkToFit="1"/>
      <protection hidden="1"/>
    </xf>
    <xf numFmtId="170" fontId="23" fillId="3" borderId="0" xfId="30" applyNumberFormat="1" applyFont="1" applyFill="1" applyAlignment="1" applyProtection="1">
      <alignment vertical="center"/>
      <protection hidden="1"/>
    </xf>
    <xf numFmtId="0" fontId="15" fillId="3" borderId="0" xfId="30" applyFont="1" applyFill="1" applyAlignment="1" applyProtection="1">
      <alignment horizontal="center" vertical="center"/>
      <protection hidden="1"/>
    </xf>
    <xf numFmtId="171" fontId="23" fillId="3" borderId="12" xfId="30" applyNumberFormat="1" applyFont="1" applyFill="1" applyBorder="1" applyAlignment="1" applyProtection="1">
      <alignment horizontal="center" vertical="center"/>
      <protection hidden="1"/>
    </xf>
    <xf numFmtId="3" fontId="23" fillId="3" borderId="29" xfId="30" applyNumberFormat="1" applyFont="1" applyFill="1" applyBorder="1" applyAlignment="1" applyProtection="1">
      <alignment horizontal="center" vertical="center"/>
      <protection hidden="1"/>
    </xf>
    <xf numFmtId="0" fontId="23" fillId="3" borderId="28" xfId="30" applyFont="1" applyFill="1" applyBorder="1" applyAlignment="1" applyProtection="1">
      <alignment horizontal="center" vertical="center"/>
      <protection hidden="1"/>
    </xf>
    <xf numFmtId="171" fontId="23" fillId="3" borderId="7" xfId="30" applyNumberFormat="1" applyFont="1" applyFill="1" applyBorder="1" applyAlignment="1" applyProtection="1">
      <alignment horizontal="center" vertical="center"/>
      <protection hidden="1"/>
    </xf>
    <xf numFmtId="3" fontId="23" fillId="3" borderId="30" xfId="30" applyNumberFormat="1" applyFont="1" applyFill="1" applyBorder="1" applyAlignment="1" applyProtection="1">
      <alignment horizontal="center" vertical="center"/>
      <protection hidden="1"/>
    </xf>
    <xf numFmtId="0" fontId="23" fillId="3" borderId="22" xfId="30" applyFont="1" applyFill="1" applyBorder="1" applyAlignment="1" applyProtection="1">
      <alignment horizontal="center" vertical="center"/>
      <protection hidden="1"/>
    </xf>
    <xf numFmtId="0" fontId="23" fillId="3" borderId="7" xfId="30" applyFont="1" applyFill="1" applyBorder="1" applyAlignment="1" applyProtection="1">
      <alignment horizontal="center" vertical="center"/>
      <protection hidden="1"/>
    </xf>
    <xf numFmtId="171" fontId="23" fillId="3" borderId="10" xfId="30" applyNumberFormat="1" applyFont="1" applyFill="1" applyBorder="1" applyAlignment="1" applyProtection="1">
      <alignment horizontal="center" vertical="center"/>
      <protection hidden="1"/>
    </xf>
    <xf numFmtId="3" fontId="23" fillId="3" borderId="0" xfId="30" applyNumberFormat="1" applyFont="1" applyFill="1" applyAlignment="1" applyProtection="1">
      <alignment horizontal="center" vertical="center"/>
      <protection hidden="1"/>
    </xf>
    <xf numFmtId="0" fontId="23" fillId="3" borderId="0" xfId="30" applyFont="1" applyFill="1" applyAlignment="1" applyProtection="1">
      <alignment vertical="center"/>
      <protection hidden="1"/>
    </xf>
    <xf numFmtId="0" fontId="14" fillId="3" borderId="18" xfId="30" applyFont="1" applyFill="1" applyBorder="1" applyAlignment="1" applyProtection="1">
      <alignment horizontal="center" vertical="center" shrinkToFit="1"/>
      <protection hidden="1"/>
    </xf>
    <xf numFmtId="0" fontId="14" fillId="3" borderId="15" xfId="30" applyFont="1" applyFill="1" applyBorder="1" applyAlignment="1" applyProtection="1">
      <alignment horizontal="center" vertical="center" shrinkToFit="1"/>
      <protection hidden="1"/>
    </xf>
    <xf numFmtId="0" fontId="14" fillId="3" borderId="27" xfId="30" applyFont="1" applyFill="1" applyBorder="1" applyAlignment="1" applyProtection="1">
      <alignment horizontal="center" vertical="center" shrinkToFit="1"/>
      <protection hidden="1"/>
    </xf>
    <xf numFmtId="0" fontId="14" fillId="3" borderId="0" xfId="30" applyFont="1" applyFill="1" applyAlignment="1" applyProtection="1">
      <alignment horizontal="center" vertical="center" shrinkToFit="1"/>
      <protection hidden="1"/>
    </xf>
    <xf numFmtId="0" fontId="14" fillId="3" borderId="14" xfId="30" applyFont="1" applyFill="1" applyBorder="1" applyAlignment="1" applyProtection="1">
      <alignment horizontal="center" vertical="center" shrinkToFit="1"/>
      <protection hidden="1"/>
    </xf>
    <xf numFmtId="0" fontId="57" fillId="3" borderId="0" xfId="30" applyFont="1" applyFill="1" applyAlignment="1" applyProtection="1">
      <alignment vertical="center" shrinkToFit="1"/>
      <protection hidden="1"/>
    </xf>
    <xf numFmtId="0" fontId="27" fillId="3" borderId="25" xfId="30" applyFont="1" applyFill="1" applyBorder="1" applyAlignment="1" applyProtection="1">
      <alignment horizontal="center" vertical="center" shrinkToFit="1"/>
      <protection hidden="1"/>
    </xf>
    <xf numFmtId="171" fontId="27" fillId="3" borderId="32" xfId="30" applyNumberFormat="1" applyFont="1" applyFill="1" applyBorder="1" applyAlignment="1" applyProtection="1">
      <alignment horizontal="right" vertical="center" shrinkToFit="1"/>
      <protection hidden="1"/>
    </xf>
    <xf numFmtId="171" fontId="27" fillId="3" borderId="19" xfId="30" applyNumberFormat="1" applyFont="1" applyFill="1" applyBorder="1" applyAlignment="1" applyProtection="1">
      <alignment horizontal="right" vertical="center" shrinkToFit="1"/>
      <protection hidden="1"/>
    </xf>
    <xf numFmtId="171" fontId="27" fillId="3" borderId="0" xfId="30" applyNumberFormat="1" applyFont="1" applyFill="1" applyAlignment="1" applyProtection="1">
      <alignment horizontal="right" vertical="center" shrinkToFit="1"/>
      <protection hidden="1"/>
    </xf>
    <xf numFmtId="171" fontId="27" fillId="3" borderId="32" xfId="30" applyNumberFormat="1" applyFont="1" applyFill="1" applyBorder="1" applyAlignment="1" applyProtection="1">
      <alignment horizontal="center" vertical="center"/>
      <protection hidden="1"/>
    </xf>
    <xf numFmtId="171" fontId="27" fillId="3" borderId="19" xfId="30" applyNumberFormat="1" applyFont="1" applyFill="1" applyBorder="1" applyAlignment="1" applyProtection="1">
      <alignment horizontal="center" vertical="center"/>
      <protection hidden="1"/>
    </xf>
    <xf numFmtId="171" fontId="60" fillId="3" borderId="0" xfId="30" applyNumberFormat="1" applyFont="1" applyFill="1" applyAlignment="1" applyProtection="1">
      <alignment horizontal="center" vertical="center" shrinkToFit="1"/>
      <protection hidden="1"/>
    </xf>
    <xf numFmtId="171" fontId="27" fillId="3" borderId="26" xfId="30" applyNumberFormat="1" applyFont="1" applyFill="1" applyBorder="1" applyAlignment="1" applyProtection="1">
      <alignment horizontal="center" vertical="center" shrinkToFit="1"/>
      <protection hidden="1"/>
    </xf>
    <xf numFmtId="0" fontId="60" fillId="3" borderId="0" xfId="30" applyFont="1" applyFill="1" applyAlignment="1" applyProtection="1">
      <alignment vertical="center"/>
      <protection hidden="1"/>
    </xf>
    <xf numFmtId="0" fontId="27" fillId="3" borderId="26" xfId="30" applyFont="1" applyFill="1" applyBorder="1" applyAlignment="1" applyProtection="1">
      <alignment horizontal="center" vertical="center" shrinkToFit="1"/>
      <protection hidden="1"/>
    </xf>
    <xf numFmtId="0" fontId="27" fillId="3" borderId="23" xfId="30" applyFont="1" applyFill="1" applyBorder="1" applyAlignment="1" applyProtection="1">
      <alignment horizontal="center" vertical="center" shrinkToFit="1"/>
      <protection hidden="1"/>
    </xf>
    <xf numFmtId="171" fontId="27" fillId="3" borderId="4" xfId="30" applyNumberFormat="1" applyFont="1" applyFill="1" applyBorder="1" applyAlignment="1" applyProtection="1">
      <alignment horizontal="right" vertical="center" shrinkToFit="1"/>
      <protection hidden="1"/>
    </xf>
    <xf numFmtId="171" fontId="27" fillId="3" borderId="5" xfId="30" applyNumberFormat="1" applyFont="1" applyFill="1" applyBorder="1" applyAlignment="1" applyProtection="1">
      <alignment horizontal="right" vertical="center" shrinkToFit="1"/>
      <protection hidden="1"/>
    </xf>
    <xf numFmtId="171" fontId="27" fillId="3" borderId="4" xfId="30" applyNumberFormat="1" applyFont="1" applyFill="1" applyBorder="1" applyAlignment="1" applyProtection="1">
      <alignment horizontal="center" vertical="center"/>
      <protection hidden="1"/>
    </xf>
    <xf numFmtId="171" fontId="27" fillId="3" borderId="5" xfId="30" applyNumberFormat="1" applyFont="1" applyFill="1" applyBorder="1" applyAlignment="1" applyProtection="1">
      <alignment horizontal="center" vertical="center"/>
      <protection hidden="1"/>
    </xf>
    <xf numFmtId="171" fontId="27" fillId="3" borderId="23" xfId="30" applyNumberFormat="1" applyFont="1" applyFill="1" applyBorder="1" applyAlignment="1" applyProtection="1">
      <alignment horizontal="center" vertical="center" shrinkToFit="1"/>
      <protection hidden="1"/>
    </xf>
    <xf numFmtId="0" fontId="27" fillId="3" borderId="24" xfId="30" applyFont="1" applyFill="1" applyBorder="1" applyAlignment="1" applyProtection="1">
      <alignment horizontal="center" vertical="center" shrinkToFit="1"/>
      <protection hidden="1"/>
    </xf>
    <xf numFmtId="171" fontId="27" fillId="3" borderId="7" xfId="30" applyNumberFormat="1" applyFont="1" applyFill="1" applyBorder="1" applyAlignment="1" applyProtection="1">
      <alignment horizontal="right" vertical="center" shrinkToFit="1"/>
      <protection hidden="1"/>
    </xf>
    <xf numFmtId="171" fontId="27" fillId="3" borderId="10" xfId="30" applyNumberFormat="1" applyFont="1" applyFill="1" applyBorder="1" applyAlignment="1" applyProtection="1">
      <alignment horizontal="right" vertical="center" shrinkToFit="1"/>
      <protection hidden="1"/>
    </xf>
    <xf numFmtId="171" fontId="27" fillId="3" borderId="7" xfId="30" applyNumberFormat="1" applyFont="1" applyFill="1" applyBorder="1" applyAlignment="1" applyProtection="1">
      <alignment horizontal="center" vertical="center"/>
      <protection hidden="1"/>
    </xf>
    <xf numFmtId="171" fontId="27" fillId="3" borderId="10" xfId="30" applyNumberFormat="1" applyFont="1" applyFill="1" applyBorder="1" applyAlignment="1" applyProtection="1">
      <alignment horizontal="center" vertical="center"/>
      <protection hidden="1"/>
    </xf>
    <xf numFmtId="171" fontId="27" fillId="3" borderId="24" xfId="30" applyNumberFormat="1" applyFont="1" applyFill="1" applyBorder="1" applyAlignment="1" applyProtection="1">
      <alignment horizontal="center" vertical="center" shrinkToFit="1"/>
      <protection hidden="1"/>
    </xf>
    <xf numFmtId="0" fontId="61" fillId="0" borderId="0" xfId="30" applyFont="1" applyAlignment="1" applyProtection="1">
      <alignment vertical="center"/>
      <protection hidden="1"/>
    </xf>
    <xf numFmtId="0" fontId="61" fillId="0" borderId="0" xfId="30" applyFont="1" applyAlignment="1" applyProtection="1">
      <alignment vertical="center"/>
      <protection locked="0" hidden="1"/>
    </xf>
    <xf numFmtId="0" fontId="63" fillId="0" borderId="0" xfId="30" applyFont="1" applyAlignment="1" applyProtection="1">
      <alignment vertical="center"/>
      <protection hidden="1"/>
    </xf>
    <xf numFmtId="0" fontId="45" fillId="0" borderId="0" xfId="27" applyFont="1" applyAlignment="1" applyProtection="1">
      <alignment vertical="center" shrinkToFit="1"/>
      <protection hidden="1"/>
    </xf>
    <xf numFmtId="41" fontId="45" fillId="0" borderId="0" xfId="27" applyNumberFormat="1" applyFont="1" applyAlignment="1" applyProtection="1">
      <alignment vertical="center" shrinkToFit="1"/>
      <protection hidden="1"/>
    </xf>
    <xf numFmtId="0" fontId="28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 shrinkToFit="1"/>
      <protection hidden="1"/>
    </xf>
    <xf numFmtId="0" fontId="16" fillId="12" borderId="0" xfId="39" applyFont="1" applyFill="1" applyProtection="1">
      <alignment horizontal="center" vertical="center" shrinkToFit="1"/>
      <protection hidden="1"/>
    </xf>
    <xf numFmtId="0" fontId="10" fillId="5" borderId="0" xfId="41" applyFont="1" applyFill="1" applyProtection="1">
      <alignment horizontal="center" vertical="center" shrinkToFit="1"/>
      <protection hidden="1"/>
    </xf>
    <xf numFmtId="0" fontId="11" fillId="5" borderId="0" xfId="41" applyFont="1" applyFill="1" applyAlignment="1" applyProtection="1">
      <alignment vertical="center" shrinkToFit="1"/>
      <protection hidden="1"/>
    </xf>
    <xf numFmtId="0" fontId="7" fillId="0" borderId="0" xfId="39" applyFont="1" applyProtection="1">
      <alignment horizontal="center" vertical="center" shrinkToFit="1"/>
      <protection hidden="1"/>
    </xf>
    <xf numFmtId="3" fontId="27" fillId="7" borderId="44" xfId="40" applyNumberFormat="1" applyFont="1" applyFill="1" applyBorder="1" applyAlignment="1" applyProtection="1">
      <alignment horizontal="left" vertical="center" shrinkToFit="1"/>
      <protection hidden="1"/>
    </xf>
    <xf numFmtId="0" fontId="26" fillId="15" borderId="44" xfId="39" applyFont="1" applyFill="1" applyBorder="1" applyProtection="1">
      <alignment horizontal="center" vertical="center" shrinkToFit="1"/>
      <protection hidden="1"/>
    </xf>
    <xf numFmtId="0" fontId="26" fillId="13" borderId="44" xfId="39" applyFont="1" applyFill="1" applyBorder="1" applyProtection="1">
      <alignment horizontal="center" vertical="center" shrinkToFit="1"/>
      <protection hidden="1"/>
    </xf>
    <xf numFmtId="3" fontId="26" fillId="13" borderId="44" xfId="39" applyNumberFormat="1" applyFont="1" applyFill="1" applyBorder="1" applyProtection="1">
      <alignment horizontal="center" vertical="center" shrinkToFit="1"/>
      <protection hidden="1"/>
    </xf>
    <xf numFmtId="0" fontId="24" fillId="5" borderId="44" xfId="41" applyFont="1" applyFill="1" applyBorder="1" applyProtection="1">
      <alignment horizontal="center" vertical="center" shrinkToFit="1"/>
      <protection hidden="1"/>
    </xf>
    <xf numFmtId="0" fontId="25" fillId="13" borderId="3" xfId="41" applyFont="1" applyFill="1" applyBorder="1" applyProtection="1">
      <alignment horizontal="center" vertical="center" shrinkToFit="1"/>
      <protection hidden="1"/>
    </xf>
    <xf numFmtId="0" fontId="25" fillId="13" borderId="67" xfId="41" applyFont="1" applyFill="1" applyBorder="1" applyProtection="1">
      <alignment horizontal="center" vertical="center" shrinkToFit="1"/>
      <protection hidden="1"/>
    </xf>
    <xf numFmtId="0" fontId="24" fillId="5" borderId="44" xfId="41" applyFont="1" applyFill="1" applyBorder="1" applyAlignment="1" applyProtection="1">
      <alignment horizontal="left" vertical="center" shrinkToFit="1"/>
      <protection hidden="1"/>
    </xf>
    <xf numFmtId="0" fontId="24" fillId="0" borderId="0" xfId="41" applyFont="1" applyProtection="1">
      <alignment horizontal="center" vertical="center" shrinkToFit="1"/>
      <protection hidden="1"/>
    </xf>
    <xf numFmtId="166" fontId="27" fillId="5" borderId="44" xfId="40" applyNumberFormat="1" applyFont="1" applyFill="1" applyBorder="1" applyAlignment="1" applyProtection="1">
      <alignment horizontal="center" vertical="center" shrinkToFit="1"/>
      <protection hidden="1"/>
    </xf>
    <xf numFmtId="166" fontId="27" fillId="11" borderId="44" xfId="40" applyNumberFormat="1" applyFont="1" applyFill="1" applyBorder="1" applyAlignment="1" applyProtection="1">
      <alignment horizontal="center" vertical="center" shrinkToFit="1"/>
      <protection hidden="1"/>
    </xf>
    <xf numFmtId="166" fontId="24" fillId="0" borderId="44" xfId="41" applyNumberFormat="1" applyFont="1" applyBorder="1" applyAlignment="1" applyProtection="1">
      <alignment vertical="center" shrinkToFit="1"/>
      <protection hidden="1"/>
    </xf>
    <xf numFmtId="166" fontId="24" fillId="5" borderId="44" xfId="41" applyNumberFormat="1" applyFont="1" applyFill="1" applyBorder="1" applyAlignment="1" applyProtection="1">
      <alignment horizontal="right" vertical="center" shrinkToFit="1"/>
      <protection hidden="1"/>
    </xf>
    <xf numFmtId="166" fontId="24" fillId="0" borderId="44" xfId="41" applyNumberFormat="1" applyFont="1" applyBorder="1" applyProtection="1">
      <alignment horizontal="center" vertical="center" shrinkToFit="1"/>
      <protection hidden="1"/>
    </xf>
    <xf numFmtId="166" fontId="24" fillId="0" borderId="0" xfId="8" applyNumberFormat="1" applyFont="1" applyAlignment="1" applyProtection="1">
      <alignment horizontal="center" vertical="center" shrinkToFit="1"/>
      <protection hidden="1"/>
    </xf>
    <xf numFmtId="0" fontId="15" fillId="7" borderId="52" xfId="39" applyFont="1" applyFill="1" applyBorder="1" applyAlignment="1" applyProtection="1">
      <alignment vertical="center" wrapText="1" shrinkToFit="1"/>
      <protection hidden="1"/>
    </xf>
    <xf numFmtId="175" fontId="26" fillId="15" borderId="47" xfId="42" applyNumberFormat="1" applyFont="1" applyFill="1" applyBorder="1" applyAlignment="1" applyProtection="1">
      <alignment horizontal="center" vertical="center" shrinkToFit="1"/>
      <protection hidden="1"/>
    </xf>
    <xf numFmtId="175" fontId="26" fillId="15" borderId="56" xfId="42" applyNumberFormat="1" applyFont="1" applyFill="1" applyBorder="1" applyAlignment="1" applyProtection="1">
      <alignment horizontal="center" vertical="center" shrinkToFit="1"/>
      <protection hidden="1"/>
    </xf>
    <xf numFmtId="10" fontId="15" fillId="7" borderId="44" xfId="39" applyNumberFormat="1" applyFont="1" applyFill="1" applyBorder="1" applyAlignment="1" applyProtection="1">
      <alignment vertical="center" shrinkToFit="1"/>
      <protection locked="0" hidden="1"/>
    </xf>
    <xf numFmtId="0" fontId="28" fillId="0" borderId="0" xfId="0" applyFont="1" applyAlignment="1" applyProtection="1">
      <alignment horizontal="center" vertical="center" shrinkToFit="1"/>
      <protection hidden="1"/>
    </xf>
    <xf numFmtId="0" fontId="12" fillId="15" borderId="44" xfId="0" applyFont="1" applyFill="1" applyBorder="1" applyAlignment="1" applyProtection="1">
      <alignment horizontal="center" vertical="center" shrinkToFit="1"/>
      <protection hidden="1"/>
    </xf>
    <xf numFmtId="171" fontId="46" fillId="5" borderId="69" xfId="30" applyNumberFormat="1" applyFont="1" applyFill="1" applyBorder="1" applyAlignment="1" applyProtection="1">
      <alignment horizontal="center" vertical="center" shrinkToFit="1"/>
      <protection hidden="1"/>
    </xf>
    <xf numFmtId="171" fontId="46" fillId="5" borderId="74" xfId="30" applyNumberFormat="1" applyFont="1" applyFill="1" applyBorder="1" applyAlignment="1" applyProtection="1">
      <alignment horizontal="center" vertical="center" shrinkToFit="1"/>
      <protection hidden="1"/>
    </xf>
    <xf numFmtId="171" fontId="46" fillId="5" borderId="70" xfId="30" applyNumberFormat="1" applyFont="1" applyFill="1" applyBorder="1" applyAlignment="1" applyProtection="1">
      <alignment horizontal="center" vertical="center" shrinkToFit="1"/>
      <protection hidden="1"/>
    </xf>
    <xf numFmtId="0" fontId="45" fillId="5" borderId="40" xfId="27" applyFont="1" applyFill="1" applyBorder="1" applyAlignment="1" applyProtection="1">
      <alignment vertical="center" shrinkToFit="1"/>
      <protection hidden="1"/>
    </xf>
    <xf numFmtId="41" fontId="24" fillId="5" borderId="74" xfId="27" applyNumberFormat="1" applyFont="1" applyFill="1" applyBorder="1" applyAlignment="1" applyProtection="1">
      <alignment horizontal="center" vertical="center" shrinkToFit="1"/>
      <protection hidden="1"/>
    </xf>
    <xf numFmtId="41" fontId="24" fillId="11" borderId="74" xfId="27" applyNumberFormat="1" applyFont="1" applyFill="1" applyBorder="1" applyAlignment="1" applyProtection="1">
      <alignment horizontal="center" vertical="center" shrinkToFit="1"/>
      <protection hidden="1"/>
    </xf>
    <xf numFmtId="0" fontId="24" fillId="5" borderId="74" xfId="27" applyFont="1" applyFill="1" applyBorder="1" applyAlignment="1" applyProtection="1">
      <alignment horizontal="center" vertical="center" shrinkToFit="1"/>
      <protection hidden="1"/>
    </xf>
    <xf numFmtId="0" fontId="24" fillId="11" borderId="74" xfId="27" applyFont="1" applyFill="1" applyBorder="1" applyAlignment="1" applyProtection="1">
      <alignment horizontal="center" vertical="center" shrinkToFit="1"/>
      <protection hidden="1"/>
    </xf>
    <xf numFmtId="41" fontId="24" fillId="11" borderId="77" xfId="27" applyNumberFormat="1" applyFont="1" applyFill="1" applyBorder="1" applyAlignment="1" applyProtection="1">
      <alignment horizontal="center" vertical="center" shrinkToFit="1"/>
      <protection hidden="1"/>
    </xf>
    <xf numFmtId="0" fontId="24" fillId="11" borderId="77" xfId="27" applyFont="1" applyFill="1" applyBorder="1" applyAlignment="1" applyProtection="1">
      <alignment horizontal="center" vertical="center" shrinkToFit="1"/>
      <protection hidden="1"/>
    </xf>
    <xf numFmtId="41" fontId="24" fillId="5" borderId="80" xfId="27" applyNumberFormat="1" applyFont="1" applyFill="1" applyBorder="1" applyAlignment="1" applyProtection="1">
      <alignment horizontal="center" vertical="center" shrinkToFit="1"/>
      <protection hidden="1"/>
    </xf>
    <xf numFmtId="41" fontId="16" fillId="5" borderId="40" xfId="27" applyNumberFormat="1" applyFont="1" applyFill="1" applyBorder="1" applyAlignment="1" applyProtection="1">
      <alignment vertical="center" shrinkToFit="1"/>
      <protection hidden="1"/>
    </xf>
    <xf numFmtId="0" fontId="16" fillId="5" borderId="40" xfId="27" applyFont="1" applyFill="1" applyBorder="1" applyAlignment="1" applyProtection="1">
      <alignment vertical="center" shrinkToFit="1"/>
      <protection hidden="1"/>
    </xf>
    <xf numFmtId="166" fontId="24" fillId="5" borderId="80" xfId="27" applyNumberFormat="1" applyFont="1" applyFill="1" applyBorder="1" applyAlignment="1" applyProtection="1">
      <alignment horizontal="center" vertical="center" shrinkToFit="1"/>
      <protection hidden="1"/>
    </xf>
    <xf numFmtId="166" fontId="24" fillId="11" borderId="74" xfId="27" applyNumberFormat="1" applyFont="1" applyFill="1" applyBorder="1" applyAlignment="1" applyProtection="1">
      <alignment horizontal="center" vertical="center" shrinkToFit="1"/>
      <protection hidden="1"/>
    </xf>
    <xf numFmtId="166" fontId="24" fillId="5" borderId="74" xfId="27" applyNumberFormat="1" applyFont="1" applyFill="1" applyBorder="1" applyAlignment="1" applyProtection="1">
      <alignment horizontal="center" vertical="center" shrinkToFit="1"/>
      <protection hidden="1"/>
    </xf>
    <xf numFmtId="0" fontId="29" fillId="5" borderId="17" xfId="30" applyFont="1" applyFill="1" applyBorder="1" applyAlignment="1" applyProtection="1">
      <alignment vertical="center"/>
      <protection hidden="1"/>
    </xf>
    <xf numFmtId="0" fontId="29" fillId="5" borderId="40" xfId="30" applyFont="1" applyFill="1" applyBorder="1" applyAlignment="1" applyProtection="1">
      <alignment vertical="center"/>
      <protection hidden="1"/>
    </xf>
    <xf numFmtId="0" fontId="29" fillId="5" borderId="27" xfId="30" applyFont="1" applyFill="1" applyBorder="1" applyAlignment="1" applyProtection="1">
      <alignment vertical="center"/>
      <protection hidden="1"/>
    </xf>
    <xf numFmtId="166" fontId="31" fillId="5" borderId="69" xfId="30" applyNumberFormat="1" applyFont="1" applyFill="1" applyBorder="1" applyAlignment="1" applyProtection="1">
      <alignment vertical="center" shrinkToFit="1"/>
      <protection hidden="1"/>
    </xf>
    <xf numFmtId="166" fontId="31" fillId="5" borderId="83" xfId="30" applyNumberFormat="1" applyFont="1" applyFill="1" applyBorder="1" applyAlignment="1" applyProtection="1">
      <alignment vertical="center" shrinkToFit="1"/>
      <protection hidden="1"/>
    </xf>
    <xf numFmtId="166" fontId="31" fillId="5" borderId="71" xfId="30" applyNumberFormat="1" applyFont="1" applyFill="1" applyBorder="1" applyAlignment="1" applyProtection="1">
      <alignment vertical="center" shrinkToFit="1"/>
      <protection hidden="1"/>
    </xf>
    <xf numFmtId="166" fontId="31" fillId="5" borderId="72" xfId="30" applyNumberFormat="1" applyFont="1" applyFill="1" applyBorder="1" applyAlignment="1" applyProtection="1">
      <alignment vertical="center" shrinkToFit="1"/>
      <protection hidden="1"/>
    </xf>
    <xf numFmtId="166" fontId="31" fillId="11" borderId="74" xfId="30" applyNumberFormat="1" applyFont="1" applyFill="1" applyBorder="1" applyAlignment="1" applyProtection="1">
      <alignment vertical="center" shrinkToFit="1"/>
      <protection hidden="1"/>
    </xf>
    <xf numFmtId="166" fontId="31" fillId="11" borderId="84" xfId="30" applyNumberFormat="1" applyFont="1" applyFill="1" applyBorder="1" applyAlignment="1" applyProtection="1">
      <alignment vertical="center" shrinkToFit="1"/>
      <protection hidden="1"/>
    </xf>
    <xf numFmtId="166" fontId="31" fillId="11" borderId="73" xfId="30" applyNumberFormat="1" applyFont="1" applyFill="1" applyBorder="1" applyAlignment="1" applyProtection="1">
      <alignment vertical="center" shrinkToFit="1"/>
      <protection hidden="1"/>
    </xf>
    <xf numFmtId="166" fontId="31" fillId="11" borderId="75" xfId="30" applyNumberFormat="1" applyFont="1" applyFill="1" applyBorder="1" applyAlignment="1" applyProtection="1">
      <alignment vertical="center" shrinkToFit="1"/>
      <protection hidden="1"/>
    </xf>
    <xf numFmtId="166" fontId="31" fillId="5" borderId="74" xfId="30" applyNumberFormat="1" applyFont="1" applyFill="1" applyBorder="1" applyAlignment="1" applyProtection="1">
      <alignment vertical="center" shrinkToFit="1"/>
      <protection hidden="1"/>
    </xf>
    <xf numFmtId="166" fontId="31" fillId="5" borderId="84" xfId="30" applyNumberFormat="1" applyFont="1" applyFill="1" applyBorder="1" applyAlignment="1" applyProtection="1">
      <alignment vertical="center" shrinkToFit="1"/>
      <protection hidden="1"/>
    </xf>
    <xf numFmtId="166" fontId="31" fillId="5" borderId="73" xfId="30" applyNumberFormat="1" applyFont="1" applyFill="1" applyBorder="1" applyAlignment="1" applyProtection="1">
      <alignment vertical="center" shrinkToFit="1"/>
      <protection hidden="1"/>
    </xf>
    <xf numFmtId="166" fontId="31" fillId="5" borderId="75" xfId="30" applyNumberFormat="1" applyFont="1" applyFill="1" applyBorder="1" applyAlignment="1" applyProtection="1">
      <alignment vertical="center" shrinkToFit="1"/>
      <protection hidden="1"/>
    </xf>
    <xf numFmtId="166" fontId="31" fillId="5" borderId="70" xfId="30" applyNumberFormat="1" applyFont="1" applyFill="1" applyBorder="1" applyAlignment="1" applyProtection="1">
      <alignment vertical="center" shrinkToFit="1"/>
      <protection hidden="1"/>
    </xf>
    <xf numFmtId="166" fontId="31" fillId="5" borderId="85" xfId="30" applyNumberFormat="1" applyFont="1" applyFill="1" applyBorder="1" applyAlignment="1" applyProtection="1">
      <alignment vertical="center" shrinkToFit="1"/>
      <protection hidden="1"/>
    </xf>
    <xf numFmtId="166" fontId="31" fillId="5" borderId="86" xfId="30" applyNumberFormat="1" applyFont="1" applyFill="1" applyBorder="1" applyAlignment="1" applyProtection="1">
      <alignment vertical="center" shrinkToFit="1"/>
      <protection hidden="1"/>
    </xf>
    <xf numFmtId="166" fontId="31" fillId="5" borderId="82" xfId="30" applyNumberFormat="1" applyFont="1" applyFill="1" applyBorder="1" applyAlignment="1" applyProtection="1">
      <alignment vertical="center" shrinkToFit="1"/>
      <protection hidden="1"/>
    </xf>
    <xf numFmtId="166" fontId="31" fillId="5" borderId="69" xfId="3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74" xfId="30" applyNumberFormat="1" applyFont="1" applyFill="1" applyBorder="1" applyAlignment="1" applyProtection="1">
      <alignment horizontal="center" vertical="center" shrinkToFit="1"/>
      <protection hidden="1"/>
    </xf>
    <xf numFmtId="166" fontId="31" fillId="5" borderId="74" xfId="30" applyNumberFormat="1" applyFont="1" applyFill="1" applyBorder="1" applyAlignment="1" applyProtection="1">
      <alignment horizontal="center" vertical="center" shrinkToFit="1"/>
      <protection hidden="1"/>
    </xf>
    <xf numFmtId="166" fontId="31" fillId="5" borderId="70" xfId="30" applyNumberFormat="1" applyFont="1" applyFill="1" applyBorder="1" applyAlignment="1" applyProtection="1">
      <alignment horizontal="center" vertical="center" shrinkToFit="1"/>
      <protection hidden="1"/>
    </xf>
    <xf numFmtId="171" fontId="15" fillId="5" borderId="50" xfId="0" applyNumberFormat="1" applyFont="1" applyFill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9" fontId="15" fillId="5" borderId="51" xfId="0" applyNumberFormat="1" applyFont="1" applyFill="1" applyBorder="1" applyAlignment="1" applyProtection="1">
      <alignment horizontal="center" vertical="center"/>
      <protection hidden="1"/>
    </xf>
    <xf numFmtId="171" fontId="15" fillId="5" borderId="6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171" fontId="15" fillId="5" borderId="69" xfId="0" applyNumberFormat="1" applyFont="1" applyFill="1" applyBorder="1" applyAlignment="1" applyProtection="1">
      <alignment horizontal="center" vertical="center"/>
      <protection hidden="1"/>
    </xf>
    <xf numFmtId="171" fontId="15" fillId="5" borderId="72" xfId="0" applyNumberFormat="1" applyFont="1" applyFill="1" applyBorder="1" applyAlignment="1" applyProtection="1">
      <alignment horizontal="center" vertical="center"/>
      <protection hidden="1"/>
    </xf>
    <xf numFmtId="171" fontId="15" fillId="5" borderId="74" xfId="0" applyNumberFormat="1" applyFont="1" applyFill="1" applyBorder="1" applyAlignment="1" applyProtection="1">
      <alignment horizontal="center" vertical="center"/>
      <protection hidden="1"/>
    </xf>
    <xf numFmtId="171" fontId="15" fillId="5" borderId="75" xfId="0" applyNumberFormat="1" applyFont="1" applyFill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horizontal="center" vertical="center"/>
      <protection locked="0" hidden="1"/>
    </xf>
    <xf numFmtId="0" fontId="28" fillId="0" borderId="0" xfId="0" applyFont="1" applyAlignment="1" applyProtection="1">
      <alignment horizontal="center" vertical="center"/>
      <protection locked="0" hidden="1"/>
    </xf>
    <xf numFmtId="9" fontId="28" fillId="0" borderId="0" xfId="0" applyNumberFormat="1" applyFont="1" applyAlignment="1" applyProtection="1">
      <alignment horizontal="center" vertical="center"/>
      <protection locked="0" hidden="1"/>
    </xf>
    <xf numFmtId="171" fontId="15" fillId="5" borderId="87" xfId="0" applyNumberFormat="1" applyFont="1" applyFill="1" applyBorder="1" applyAlignment="1" applyProtection="1">
      <alignment horizontal="center" vertical="center"/>
      <protection hidden="1"/>
    </xf>
    <xf numFmtId="0" fontId="28" fillId="0" borderId="44" xfId="0" applyFont="1" applyBorder="1" applyAlignment="1" applyProtection="1">
      <alignment horizontal="center" vertical="center"/>
      <protection hidden="1"/>
    </xf>
    <xf numFmtId="3" fontId="28" fillId="0" borderId="44" xfId="0" applyNumberFormat="1" applyFont="1" applyBorder="1" applyAlignment="1" applyProtection="1">
      <alignment horizontal="center" vertical="center"/>
      <protection hidden="1"/>
    </xf>
    <xf numFmtId="171" fontId="15" fillId="5" borderId="80" xfId="0" applyNumberFormat="1" applyFont="1" applyFill="1" applyBorder="1" applyAlignment="1" applyProtection="1">
      <alignment horizontal="center" vertical="center"/>
      <protection hidden="1"/>
    </xf>
    <xf numFmtId="171" fontId="15" fillId="5" borderId="81" xfId="0" applyNumberFormat="1" applyFont="1" applyFill="1" applyBorder="1" applyAlignment="1" applyProtection="1">
      <alignment horizontal="center" vertical="center"/>
      <protection hidden="1"/>
    </xf>
    <xf numFmtId="171" fontId="15" fillId="5" borderId="73" xfId="0" applyNumberFormat="1" applyFont="1" applyFill="1" applyBorder="1" applyAlignment="1" applyProtection="1">
      <alignment horizontal="center" vertical="center"/>
      <protection hidden="1"/>
    </xf>
    <xf numFmtId="171" fontId="15" fillId="11" borderId="73" xfId="0" applyNumberFormat="1" applyFont="1" applyFill="1" applyBorder="1" applyAlignment="1" applyProtection="1">
      <alignment horizontal="center" vertical="center"/>
      <protection hidden="1"/>
    </xf>
    <xf numFmtId="171" fontId="15" fillId="5" borderId="77" xfId="0" applyNumberFormat="1" applyFont="1" applyFill="1" applyBorder="1" applyAlignment="1" applyProtection="1">
      <alignment horizontal="center" vertical="center"/>
      <protection hidden="1"/>
    </xf>
    <xf numFmtId="171" fontId="15" fillId="5" borderId="78" xfId="0" applyNumberFormat="1" applyFont="1" applyFill="1" applyBorder="1" applyAlignment="1" applyProtection="1">
      <alignment horizontal="center" vertical="center"/>
      <protection hidden="1"/>
    </xf>
    <xf numFmtId="171" fontId="15" fillId="5" borderId="76" xfId="0" applyNumberFormat="1" applyFont="1" applyFill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horizontal="center" vertical="center" shrinkToFit="1"/>
      <protection hidden="1"/>
    </xf>
    <xf numFmtId="0" fontId="65" fillId="0" borderId="0" xfId="0" applyFont="1" applyAlignment="1" applyProtection="1">
      <alignment horizontal="left" vertical="center"/>
      <protection hidden="1"/>
    </xf>
    <xf numFmtId="171" fontId="87" fillId="5" borderId="74" xfId="0" applyNumberFormat="1" applyFont="1" applyFill="1" applyBorder="1" applyAlignment="1" applyProtection="1">
      <alignment horizontal="center" vertical="center"/>
      <protection hidden="1"/>
    </xf>
    <xf numFmtId="171" fontId="87" fillId="5" borderId="75" xfId="0" applyNumberFormat="1" applyFont="1" applyFill="1" applyBorder="1" applyAlignment="1" applyProtection="1">
      <alignment horizontal="center" vertical="center"/>
      <protection hidden="1"/>
    </xf>
    <xf numFmtId="171" fontId="87" fillId="5" borderId="77" xfId="0" applyNumberFormat="1" applyFont="1" applyFill="1" applyBorder="1" applyAlignment="1" applyProtection="1">
      <alignment horizontal="center" vertical="center"/>
      <protection hidden="1"/>
    </xf>
    <xf numFmtId="171" fontId="87" fillId="5" borderId="78" xfId="0" applyNumberFormat="1" applyFont="1" applyFill="1" applyBorder="1" applyAlignment="1" applyProtection="1">
      <alignment horizontal="center" vertical="center"/>
      <protection hidden="1"/>
    </xf>
    <xf numFmtId="171" fontId="87" fillId="5" borderId="73" xfId="0" applyNumberFormat="1" applyFont="1" applyFill="1" applyBorder="1" applyAlignment="1" applyProtection="1">
      <alignment horizontal="center" vertical="center"/>
      <protection hidden="1"/>
    </xf>
    <xf numFmtId="171" fontId="87" fillId="5" borderId="76" xfId="0" applyNumberFormat="1" applyFont="1" applyFill="1" applyBorder="1" applyAlignment="1" applyProtection="1">
      <alignment horizontal="center" vertical="center"/>
      <protection hidden="1"/>
    </xf>
    <xf numFmtId="166" fontId="15" fillId="5" borderId="73" xfId="0" applyNumberFormat="1" applyFont="1" applyFill="1" applyBorder="1" applyAlignment="1" applyProtection="1">
      <alignment horizontal="center" vertical="center"/>
      <protection hidden="1"/>
    </xf>
    <xf numFmtId="166" fontId="15" fillId="5" borderId="76" xfId="0" applyNumberFormat="1" applyFont="1" applyFill="1" applyBorder="1" applyAlignment="1" applyProtection="1">
      <alignment horizontal="center" vertical="center"/>
      <protection hidden="1"/>
    </xf>
    <xf numFmtId="0" fontId="15" fillId="11" borderId="79" xfId="0" applyFont="1" applyFill="1" applyBorder="1" applyAlignment="1" applyProtection="1">
      <alignment horizontal="left" vertical="center" shrinkToFit="1"/>
      <protection hidden="1"/>
    </xf>
    <xf numFmtId="0" fontId="15" fillId="11" borderId="75" xfId="0" applyFont="1" applyFill="1" applyBorder="1" applyAlignment="1" applyProtection="1">
      <alignment horizontal="left" vertical="center" shrinkToFit="1"/>
      <protection hidden="1"/>
    </xf>
    <xf numFmtId="0" fontId="15" fillId="11" borderId="78" xfId="0" applyFont="1" applyFill="1" applyBorder="1" applyAlignment="1" applyProtection="1">
      <alignment horizontal="left" vertical="center" shrinkToFit="1"/>
      <protection hidden="1"/>
    </xf>
    <xf numFmtId="0" fontId="87" fillId="11" borderId="78" xfId="0" applyFont="1" applyFill="1" applyBorder="1" applyAlignment="1" applyProtection="1">
      <alignment horizontal="left" vertical="center" shrinkToFit="1"/>
      <protection hidden="1"/>
    </xf>
    <xf numFmtId="0" fontId="87" fillId="11" borderId="75" xfId="0" applyFont="1" applyFill="1" applyBorder="1" applyAlignment="1" applyProtection="1">
      <alignment horizontal="left" vertical="center" shrinkToFit="1"/>
      <protection hidden="1"/>
    </xf>
    <xf numFmtId="166" fontId="15" fillId="5" borderId="93" xfId="0" applyNumberFormat="1" applyFont="1" applyFill="1" applyBorder="1" applyAlignment="1" applyProtection="1">
      <alignment horizontal="center" vertical="center"/>
      <protection hidden="1"/>
    </xf>
    <xf numFmtId="166" fontId="15" fillId="11" borderId="51" xfId="0" applyNumberFormat="1" applyFont="1" applyFill="1" applyBorder="1" applyAlignment="1" applyProtection="1">
      <alignment horizontal="center" vertical="center"/>
      <protection hidden="1"/>
    </xf>
    <xf numFmtId="166" fontId="85" fillId="5" borderId="70" xfId="0" applyNumberFormat="1" applyFont="1" applyFill="1" applyBorder="1" applyAlignment="1" applyProtection="1">
      <alignment horizontal="center" vertical="center"/>
      <protection hidden="1"/>
    </xf>
    <xf numFmtId="166" fontId="24" fillId="5" borderId="70" xfId="0" applyNumberFormat="1" applyFont="1" applyFill="1" applyBorder="1" applyAlignment="1" applyProtection="1">
      <alignment horizontal="center" vertical="center"/>
      <protection hidden="1"/>
    </xf>
    <xf numFmtId="166" fontId="85" fillId="5" borderId="74" xfId="0" applyNumberFormat="1" applyFont="1" applyFill="1" applyBorder="1" applyAlignment="1" applyProtection="1">
      <alignment horizontal="center" vertical="center"/>
      <protection hidden="1"/>
    </xf>
    <xf numFmtId="166" fontId="24" fillId="5" borderId="74" xfId="0" applyNumberFormat="1" applyFont="1" applyFill="1" applyBorder="1" applyAlignment="1" applyProtection="1">
      <alignment horizontal="center" vertical="center"/>
      <protection hidden="1"/>
    </xf>
    <xf numFmtId="166" fontId="15" fillId="5" borderId="44" xfId="0" applyNumberFormat="1" applyFont="1" applyFill="1" applyBorder="1" applyAlignment="1" applyProtection="1">
      <alignment horizontal="right" vertical="center"/>
      <protection hidden="1"/>
    </xf>
    <xf numFmtId="166" fontId="15" fillId="11" borderId="51" xfId="0" applyNumberFormat="1" applyFont="1" applyFill="1" applyBorder="1" applyAlignment="1" applyProtection="1">
      <alignment horizontal="right" vertical="center"/>
      <protection hidden="1"/>
    </xf>
    <xf numFmtId="0" fontId="28" fillId="5" borderId="0" xfId="0" applyFont="1" applyFill="1" applyAlignment="1" applyProtection="1">
      <alignment vertical="center"/>
      <protection hidden="1"/>
    </xf>
    <xf numFmtId="1" fontId="67" fillId="5" borderId="57" xfId="0" applyNumberFormat="1" applyFont="1" applyFill="1" applyBorder="1" applyAlignment="1" applyProtection="1">
      <alignment vertical="center"/>
      <protection hidden="1"/>
    </xf>
    <xf numFmtId="174" fontId="67" fillId="5" borderId="57" xfId="0" applyNumberFormat="1" applyFont="1" applyFill="1" applyBorder="1" applyAlignment="1" applyProtection="1">
      <alignment vertical="center"/>
      <protection hidden="1"/>
    </xf>
    <xf numFmtId="166" fontId="67" fillId="5" borderId="57" xfId="0" applyNumberFormat="1" applyFont="1" applyFill="1" applyBorder="1" applyAlignment="1" applyProtection="1">
      <alignment vertical="center"/>
      <protection hidden="1"/>
    </xf>
    <xf numFmtId="166" fontId="84" fillId="5" borderId="57" xfId="0" applyNumberFormat="1" applyFont="1" applyFill="1" applyBorder="1" applyAlignment="1" applyProtection="1">
      <alignment vertical="center"/>
      <protection hidden="1"/>
    </xf>
    <xf numFmtId="166" fontId="67" fillId="5" borderId="21" xfId="0" applyNumberFormat="1" applyFont="1" applyFill="1" applyBorder="1" applyAlignment="1" applyProtection="1">
      <alignment vertical="center"/>
      <protection hidden="1"/>
    </xf>
    <xf numFmtId="0" fontId="67" fillId="5" borderId="57" xfId="0" applyFont="1" applyFill="1" applyBorder="1" applyAlignment="1" applyProtection="1">
      <alignment vertical="center"/>
      <protection hidden="1"/>
    </xf>
    <xf numFmtId="174" fontId="24" fillId="11" borderId="44" xfId="0" applyNumberFormat="1" applyFont="1" applyFill="1" applyBorder="1" applyAlignment="1" applyProtection="1">
      <alignment horizontal="center" vertical="center"/>
      <protection hidden="1"/>
    </xf>
    <xf numFmtId="3" fontId="28" fillId="5" borderId="0" xfId="0" applyNumberFormat="1" applyFont="1" applyFill="1" applyAlignment="1" applyProtection="1">
      <alignment vertical="center"/>
      <protection hidden="1"/>
    </xf>
    <xf numFmtId="1" fontId="67" fillId="5" borderId="35" xfId="0" applyNumberFormat="1" applyFont="1" applyFill="1" applyBorder="1" applyAlignment="1" applyProtection="1">
      <alignment vertical="center"/>
      <protection hidden="1"/>
    </xf>
    <xf numFmtId="0" fontId="67" fillId="5" borderId="35" xfId="0" applyFont="1" applyFill="1" applyBorder="1" applyAlignment="1" applyProtection="1">
      <alignment vertical="center"/>
      <protection hidden="1"/>
    </xf>
    <xf numFmtId="0" fontId="60" fillId="2" borderId="44" xfId="30" applyFont="1" applyFill="1" applyBorder="1" applyAlignment="1" applyProtection="1">
      <alignment horizontal="center" vertical="center"/>
      <protection locked="0" hidden="1"/>
    </xf>
    <xf numFmtId="3" fontId="60" fillId="2" borderId="44" xfId="30" applyNumberFormat="1" applyFont="1" applyFill="1" applyBorder="1" applyAlignment="1" applyProtection="1">
      <alignment horizontal="right" vertical="center"/>
      <protection locked="0" hidden="1"/>
    </xf>
    <xf numFmtId="3" fontId="60" fillId="2" borderId="44" xfId="30" applyNumberFormat="1" applyFont="1" applyFill="1" applyBorder="1" applyAlignment="1" applyProtection="1">
      <alignment horizontal="center" vertical="center"/>
      <protection locked="0" hidden="1"/>
    </xf>
    <xf numFmtId="171" fontId="23" fillId="5" borderId="102" xfId="30" applyNumberFormat="1" applyFont="1" applyFill="1" applyBorder="1" applyAlignment="1" applyProtection="1">
      <alignment horizontal="center" vertical="center" shrinkToFit="1"/>
      <protection hidden="1"/>
    </xf>
    <xf numFmtId="171" fontId="46" fillId="5" borderId="118" xfId="30" applyNumberFormat="1" applyFont="1" applyFill="1" applyBorder="1" applyAlignment="1" applyProtection="1">
      <alignment horizontal="center" vertical="center" shrinkToFit="1"/>
      <protection hidden="1"/>
    </xf>
    <xf numFmtId="171" fontId="46" fillId="5" borderId="119" xfId="30" applyNumberFormat="1" applyFont="1" applyFill="1" applyBorder="1" applyAlignment="1" applyProtection="1">
      <alignment horizontal="center" vertical="center" shrinkToFit="1"/>
      <protection hidden="1"/>
    </xf>
    <xf numFmtId="171" fontId="46" fillId="5" borderId="121" xfId="30" applyNumberFormat="1" applyFont="1" applyFill="1" applyBorder="1" applyAlignment="1" applyProtection="1">
      <alignment horizontal="center" vertical="center" shrinkToFit="1"/>
      <protection hidden="1"/>
    </xf>
    <xf numFmtId="0" fontId="88" fillId="5" borderId="118" xfId="30" applyFont="1" applyFill="1" applyBorder="1" applyAlignment="1" applyProtection="1">
      <alignment horizontal="center" vertical="center" shrinkToFit="1"/>
      <protection hidden="1"/>
    </xf>
    <xf numFmtId="0" fontId="88" fillId="5" borderId="119" xfId="30" applyFont="1" applyFill="1" applyBorder="1" applyAlignment="1" applyProtection="1">
      <alignment horizontal="center" vertical="center" shrinkToFit="1"/>
      <protection hidden="1"/>
    </xf>
    <xf numFmtId="0" fontId="88" fillId="5" borderId="121" xfId="30" applyFont="1" applyFill="1" applyBorder="1" applyAlignment="1" applyProtection="1">
      <alignment horizontal="center" vertical="center" shrinkToFit="1"/>
      <protection hidden="1"/>
    </xf>
    <xf numFmtId="171" fontId="23" fillId="5" borderId="123" xfId="30" applyNumberFormat="1" applyFont="1" applyFill="1" applyBorder="1" applyAlignment="1" applyProtection="1">
      <alignment horizontal="center" vertical="center" shrinkToFit="1"/>
      <protection hidden="1"/>
    </xf>
    <xf numFmtId="171" fontId="46" fillId="5" borderId="125" xfId="30" applyNumberFormat="1" applyFont="1" applyFill="1" applyBorder="1" applyAlignment="1" applyProtection="1">
      <alignment horizontal="center" vertical="center"/>
      <protection hidden="1"/>
    </xf>
    <xf numFmtId="0" fontId="88" fillId="5" borderId="126" xfId="30" applyFont="1" applyFill="1" applyBorder="1" applyAlignment="1" applyProtection="1">
      <alignment horizontal="center" vertical="center"/>
      <protection hidden="1"/>
    </xf>
    <xf numFmtId="166" fontId="89" fillId="5" borderId="102" xfId="30" applyNumberFormat="1" applyFont="1" applyFill="1" applyBorder="1" applyAlignment="1" applyProtection="1">
      <alignment horizontal="right" vertical="center"/>
      <protection locked="0" hidden="1"/>
    </xf>
    <xf numFmtId="166" fontId="90" fillId="5" borderId="102" xfId="30" applyNumberFormat="1" applyFont="1" applyFill="1" applyBorder="1" applyAlignment="1" applyProtection="1">
      <alignment horizontal="right" vertical="center"/>
      <protection hidden="1"/>
    </xf>
    <xf numFmtId="171" fontId="90" fillId="5" borderId="69" xfId="30" applyNumberFormat="1" applyFont="1" applyFill="1" applyBorder="1" applyAlignment="1" applyProtection="1">
      <alignment horizontal="center" vertical="center" shrinkToFit="1"/>
      <protection hidden="1"/>
    </xf>
    <xf numFmtId="171" fontId="90" fillId="5" borderId="74" xfId="30" applyNumberFormat="1" applyFont="1" applyFill="1" applyBorder="1" applyAlignment="1" applyProtection="1">
      <alignment horizontal="center" vertical="center" shrinkToFit="1"/>
      <protection hidden="1"/>
    </xf>
    <xf numFmtId="171" fontId="90" fillId="5" borderId="70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69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74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70" xfId="30" applyNumberFormat="1" applyFont="1" applyFill="1" applyBorder="1" applyAlignment="1" applyProtection="1">
      <alignment horizontal="center" vertical="center" shrinkToFit="1"/>
      <protection hidden="1"/>
    </xf>
    <xf numFmtId="0" fontId="23" fillId="5" borderId="69" xfId="30" applyFont="1" applyFill="1" applyBorder="1" applyAlignment="1" applyProtection="1">
      <alignment horizontal="center" vertical="center" shrinkToFit="1"/>
      <protection hidden="1"/>
    </xf>
    <xf numFmtId="0" fontId="23" fillId="5" borderId="74" xfId="30" applyFont="1" applyFill="1" applyBorder="1" applyAlignment="1" applyProtection="1">
      <alignment horizontal="center" vertical="center" shrinkToFit="1"/>
      <protection hidden="1"/>
    </xf>
    <xf numFmtId="0" fontId="23" fillId="5" borderId="70" xfId="30" applyFont="1" applyFill="1" applyBorder="1" applyAlignment="1" applyProtection="1">
      <alignment horizontal="center" vertical="center" shrinkToFit="1"/>
      <protection hidden="1"/>
    </xf>
    <xf numFmtId="0" fontId="12" fillId="15" borderId="129" xfId="0" applyFont="1" applyFill="1" applyBorder="1" applyAlignment="1" applyProtection="1">
      <alignment horizontal="center" vertical="center" shrinkToFit="1"/>
      <protection hidden="1"/>
    </xf>
    <xf numFmtId="166" fontId="12" fillId="15" borderId="133" xfId="0" applyNumberFormat="1" applyFont="1" applyFill="1" applyBorder="1" applyAlignment="1" applyProtection="1">
      <alignment horizontal="center" vertical="center" shrinkToFit="1"/>
      <protection hidden="1"/>
    </xf>
    <xf numFmtId="166" fontId="12" fillId="15" borderId="134" xfId="0" applyNumberFormat="1" applyFont="1" applyFill="1" applyBorder="1" applyAlignment="1" applyProtection="1">
      <alignment horizontal="center" vertical="center" shrinkToFit="1"/>
      <protection hidden="1"/>
    </xf>
    <xf numFmtId="171" fontId="93" fillId="5" borderId="144" xfId="30" applyNumberFormat="1" applyFont="1" applyFill="1" applyBorder="1" applyAlignment="1" applyProtection="1">
      <alignment horizontal="center" vertical="center" shrinkToFit="1"/>
      <protection locked="0" hidden="1"/>
    </xf>
    <xf numFmtId="171" fontId="94" fillId="5" borderId="146" xfId="30" applyNumberFormat="1" applyFont="1" applyFill="1" applyBorder="1" applyAlignment="1" applyProtection="1">
      <alignment horizontal="center" vertical="center" shrinkToFit="1"/>
      <protection locked="0" hidden="1"/>
    </xf>
    <xf numFmtId="171" fontId="92" fillId="5" borderId="148" xfId="30" applyNumberFormat="1" applyFont="1" applyFill="1" applyBorder="1" applyAlignment="1" applyProtection="1">
      <alignment horizontal="center" vertical="center" shrinkToFit="1"/>
      <protection locked="0" hidden="1"/>
    </xf>
    <xf numFmtId="0" fontId="15" fillId="5" borderId="44" xfId="39" applyFont="1" applyFill="1" applyBorder="1" applyProtection="1">
      <alignment horizontal="center" vertical="center" shrinkToFit="1"/>
      <protection hidden="1"/>
    </xf>
    <xf numFmtId="0" fontId="25" fillId="15" borderId="89" xfId="27" applyFont="1" applyFill="1" applyBorder="1" applyAlignment="1" applyProtection="1">
      <alignment horizontal="center" vertical="center" shrinkToFit="1"/>
      <protection hidden="1"/>
    </xf>
    <xf numFmtId="0" fontId="45" fillId="5" borderId="17" xfId="27" applyFont="1" applyFill="1" applyBorder="1" applyAlignment="1" applyProtection="1">
      <alignment vertical="center" shrinkToFit="1"/>
      <protection hidden="1"/>
    </xf>
    <xf numFmtId="0" fontId="25" fillId="15" borderId="91" xfId="27" applyFont="1" applyFill="1" applyBorder="1" applyAlignment="1" applyProtection="1">
      <alignment horizontal="center" vertical="center" shrinkToFit="1"/>
      <protection hidden="1"/>
    </xf>
    <xf numFmtId="41" fontId="24" fillId="5" borderId="81" xfId="27" applyNumberFormat="1" applyFont="1" applyFill="1" applyBorder="1" applyAlignment="1" applyProtection="1">
      <alignment horizontal="center" vertical="center" shrinkToFit="1"/>
      <protection hidden="1"/>
    </xf>
    <xf numFmtId="41" fontId="24" fillId="11" borderId="75" xfId="27" applyNumberFormat="1" applyFont="1" applyFill="1" applyBorder="1" applyAlignment="1" applyProtection="1">
      <alignment horizontal="center" vertical="center" shrinkToFit="1"/>
      <protection hidden="1"/>
    </xf>
    <xf numFmtId="41" fontId="24" fillId="5" borderId="75" xfId="27" applyNumberFormat="1" applyFont="1" applyFill="1" applyBorder="1" applyAlignment="1" applyProtection="1">
      <alignment horizontal="center" vertical="center" shrinkToFit="1"/>
      <protection hidden="1"/>
    </xf>
    <xf numFmtId="41" fontId="24" fillId="11" borderId="78" xfId="27" applyNumberFormat="1" applyFont="1" applyFill="1" applyBorder="1" applyAlignment="1" applyProtection="1">
      <alignment horizontal="center" vertical="center" shrinkToFit="1"/>
      <protection hidden="1"/>
    </xf>
    <xf numFmtId="0" fontId="16" fillId="5" borderId="27" xfId="27" applyFont="1" applyFill="1" applyBorder="1" applyAlignment="1" applyProtection="1">
      <alignment vertical="center" shrinkToFit="1"/>
      <protection hidden="1"/>
    </xf>
    <xf numFmtId="166" fontId="24" fillId="11" borderId="75" xfId="27" applyNumberFormat="1" applyFont="1" applyFill="1" applyBorder="1" applyAlignment="1" applyProtection="1">
      <alignment horizontal="center" vertical="center" shrinkToFit="1"/>
      <protection hidden="1"/>
    </xf>
    <xf numFmtId="0" fontId="15" fillId="5" borderId="44" xfId="39" applyFont="1" applyFill="1" applyBorder="1" applyProtection="1">
      <alignment horizontal="center" vertical="center" shrinkToFit="1"/>
      <protection locked="0" hidden="1"/>
    </xf>
    <xf numFmtId="174" fontId="86" fillId="5" borderId="45" xfId="31" applyNumberFormat="1" applyFont="1" applyFill="1" applyBorder="1" applyAlignment="1" applyProtection="1">
      <alignment horizontal="center" vertical="center" shrinkToFit="1"/>
      <protection hidden="1"/>
    </xf>
    <xf numFmtId="174" fontId="86" fillId="5" borderId="46" xfId="0" applyNumberFormat="1" applyFont="1" applyFill="1" applyBorder="1" applyAlignment="1" applyProtection="1">
      <alignment horizontal="center" vertical="center"/>
      <protection hidden="1"/>
    </xf>
    <xf numFmtId="10" fontId="28" fillId="0" borderId="44" xfId="21" applyNumberFormat="1" applyFont="1" applyBorder="1" applyAlignment="1" applyProtection="1">
      <alignment vertical="center" shrinkToFit="1"/>
      <protection locked="0" hidden="1"/>
    </xf>
    <xf numFmtId="0" fontId="26" fillId="22" borderId="43" xfId="39" applyFont="1" applyFill="1" applyBorder="1" applyAlignment="1" applyProtection="1">
      <alignment horizontal="left" vertical="center" shrinkToFit="1"/>
      <protection hidden="1"/>
    </xf>
    <xf numFmtId="0" fontId="15" fillId="7" borderId="88" xfId="39" applyFont="1" applyFill="1" applyBorder="1" applyAlignment="1" applyProtection="1">
      <alignment vertical="center" wrapText="1" shrinkToFit="1"/>
      <protection hidden="1"/>
    </xf>
    <xf numFmtId="0" fontId="26" fillId="22" borderId="43" xfId="39" applyFont="1" applyFill="1" applyBorder="1" applyAlignment="1" applyProtection="1">
      <alignment vertical="center" shrinkToFit="1"/>
      <protection hidden="1"/>
    </xf>
    <xf numFmtId="0" fontId="18" fillId="5" borderId="0" xfId="39" applyFont="1" applyFill="1" applyAlignment="1" applyProtection="1">
      <alignment horizontal="left" vertical="center" shrinkToFit="1"/>
      <protection hidden="1"/>
    </xf>
    <xf numFmtId="3" fontId="26" fillId="15" borderId="63" xfId="39" applyNumberFormat="1" applyFont="1" applyFill="1" applyBorder="1" applyProtection="1">
      <alignment horizontal="center" vertical="center" shrinkToFit="1"/>
      <protection hidden="1"/>
    </xf>
    <xf numFmtId="0" fontId="15" fillId="7" borderId="45" xfId="39" applyFont="1" applyFill="1" applyBorder="1" applyProtection="1">
      <alignment horizontal="center" vertical="center" shrinkToFit="1"/>
      <protection hidden="1"/>
    </xf>
    <xf numFmtId="9" fontId="13" fillId="5" borderId="0" xfId="40" applyFont="1" applyFill="1" applyBorder="1" applyAlignment="1" applyProtection="1">
      <alignment vertical="center" shrinkToFit="1"/>
      <protection hidden="1"/>
    </xf>
    <xf numFmtId="9" fontId="13" fillId="5" borderId="0" xfId="40" applyFont="1" applyFill="1" applyBorder="1" applyAlignment="1" applyProtection="1">
      <alignment vertical="center" wrapText="1" shrinkToFit="1"/>
      <protection hidden="1"/>
    </xf>
    <xf numFmtId="9" fontId="13" fillId="5" borderId="0" xfId="40" applyFont="1" applyFill="1" applyBorder="1" applyAlignment="1" applyProtection="1">
      <alignment horizontal="left" vertical="center" wrapText="1" shrinkToFit="1"/>
      <protection hidden="1"/>
    </xf>
    <xf numFmtId="0" fontId="17" fillId="22" borderId="109" xfId="30" applyFont="1" applyFill="1" applyBorder="1" applyAlignment="1" applyProtection="1">
      <alignment vertical="center"/>
      <protection hidden="1"/>
    </xf>
    <xf numFmtId="169" fontId="17" fillId="22" borderId="110" xfId="30" applyNumberFormat="1" applyFont="1" applyFill="1" applyBorder="1" applyAlignment="1" applyProtection="1">
      <alignment horizontal="center" vertical="center"/>
      <protection hidden="1"/>
    </xf>
    <xf numFmtId="169" fontId="17" fillId="22" borderId="111" xfId="30" applyNumberFormat="1" applyFont="1" applyFill="1" applyBorder="1" applyAlignment="1" applyProtection="1">
      <alignment horizontal="center" vertical="center"/>
      <protection hidden="1"/>
    </xf>
    <xf numFmtId="0" fontId="17" fillId="22" borderId="109" xfId="30" applyFont="1" applyFill="1" applyBorder="1" applyAlignment="1" applyProtection="1">
      <alignment horizontal="center" vertical="center"/>
      <protection hidden="1"/>
    </xf>
    <xf numFmtId="169" fontId="17" fillId="22" borderId="106" xfId="30" applyNumberFormat="1" applyFont="1" applyFill="1" applyBorder="1" applyAlignment="1" applyProtection="1">
      <alignment horizontal="center" vertical="center"/>
      <protection hidden="1"/>
    </xf>
    <xf numFmtId="0" fontId="17" fillId="22" borderId="106" xfId="30" applyFont="1" applyFill="1" applyBorder="1" applyAlignment="1" applyProtection="1">
      <alignment horizontal="center" vertical="center"/>
      <protection hidden="1"/>
    </xf>
    <xf numFmtId="0" fontId="17" fillId="23" borderId="107" xfId="30" applyFont="1" applyFill="1" applyBorder="1" applyAlignment="1" applyProtection="1">
      <alignment horizontal="center" vertical="center"/>
      <protection hidden="1"/>
    </xf>
    <xf numFmtId="0" fontId="17" fillId="23" borderId="100" xfId="30" applyFont="1" applyFill="1" applyBorder="1" applyAlignment="1" applyProtection="1">
      <alignment horizontal="center" vertical="center"/>
      <protection hidden="1"/>
    </xf>
    <xf numFmtId="0" fontId="17" fillId="23" borderId="103" xfId="30" applyFont="1" applyFill="1" applyBorder="1" applyAlignment="1" applyProtection="1">
      <alignment horizontal="center" vertical="center"/>
      <protection hidden="1"/>
    </xf>
    <xf numFmtId="169" fontId="17" fillId="23" borderId="122" xfId="30" applyNumberFormat="1" applyFont="1" applyFill="1" applyBorder="1" applyAlignment="1" applyProtection="1">
      <alignment horizontal="center" vertical="center"/>
      <protection hidden="1"/>
    </xf>
    <xf numFmtId="0" fontId="17" fillId="23" borderId="115" xfId="30" applyFont="1" applyFill="1" applyBorder="1" applyAlignment="1" applyProtection="1">
      <alignment horizontal="center" vertical="center" shrinkToFit="1"/>
      <protection hidden="1"/>
    </xf>
    <xf numFmtId="0" fontId="17" fillId="23" borderId="100" xfId="30" applyFont="1" applyFill="1" applyBorder="1" applyAlignment="1" applyProtection="1">
      <alignment horizontal="center" vertical="center" shrinkToFit="1"/>
      <protection hidden="1"/>
    </xf>
    <xf numFmtId="0" fontId="17" fillId="23" borderId="103" xfId="30" applyFont="1" applyFill="1" applyBorder="1" applyAlignment="1" applyProtection="1">
      <alignment horizontal="center" vertical="center" shrinkToFit="1"/>
      <protection hidden="1"/>
    </xf>
    <xf numFmtId="169" fontId="17" fillId="23" borderId="103" xfId="30" applyNumberFormat="1" applyFont="1" applyFill="1" applyBorder="1" applyAlignment="1" applyProtection="1">
      <alignment horizontal="center" vertical="center"/>
      <protection hidden="1"/>
    </xf>
    <xf numFmtId="171" fontId="17" fillId="23" borderId="97" xfId="30" applyNumberFormat="1" applyFont="1" applyFill="1" applyBorder="1" applyAlignment="1" applyProtection="1">
      <alignment horizontal="center" vertical="center" shrinkToFit="1"/>
      <protection hidden="1"/>
    </xf>
    <xf numFmtId="0" fontId="45" fillId="8" borderId="0" xfId="30" applyFont="1" applyFill="1" applyAlignment="1" applyProtection="1">
      <alignment vertical="center"/>
      <protection hidden="1"/>
    </xf>
    <xf numFmtId="0" fontId="47" fillId="8" borderId="0" xfId="30" applyFont="1" applyFill="1" applyAlignment="1" applyProtection="1">
      <alignment vertical="center"/>
      <protection hidden="1"/>
    </xf>
    <xf numFmtId="0" fontId="90" fillId="8" borderId="0" xfId="30" applyFont="1" applyFill="1" applyAlignment="1" applyProtection="1">
      <alignment horizontal="center" vertical="center"/>
      <protection hidden="1"/>
    </xf>
    <xf numFmtId="0" fontId="23" fillId="8" borderId="0" xfId="30" applyFont="1" applyFill="1" applyAlignment="1" applyProtection="1">
      <alignment horizontal="center" vertical="center"/>
      <protection hidden="1"/>
    </xf>
    <xf numFmtId="0" fontId="45" fillId="8" borderId="0" xfId="30" applyFont="1" applyFill="1" applyAlignment="1" applyProtection="1">
      <alignment horizontal="center" vertical="center"/>
      <protection hidden="1"/>
    </xf>
    <xf numFmtId="0" fontId="47" fillId="8" borderId="0" xfId="30" applyFont="1" applyFill="1" applyAlignment="1" applyProtection="1">
      <alignment horizontal="center" vertical="center"/>
      <protection hidden="1"/>
    </xf>
    <xf numFmtId="3" fontId="23" fillId="8" borderId="0" xfId="30" applyNumberFormat="1" applyFont="1" applyFill="1" applyAlignment="1" applyProtection="1">
      <alignment horizontal="center" vertical="center"/>
      <protection hidden="1"/>
    </xf>
    <xf numFmtId="0" fontId="52" fillId="8" borderId="0" xfId="30" applyFont="1" applyFill="1" applyAlignment="1" applyProtection="1">
      <alignment horizontal="center" vertical="center"/>
      <protection hidden="1"/>
    </xf>
    <xf numFmtId="0" fontId="51" fillId="8" borderId="0" xfId="30" applyFont="1" applyFill="1" applyAlignment="1" applyProtection="1">
      <alignment horizontal="center" vertical="center"/>
      <protection hidden="1"/>
    </xf>
    <xf numFmtId="171" fontId="52" fillId="8" borderId="0" xfId="30" applyNumberFormat="1" applyFont="1" applyFill="1" applyAlignment="1" applyProtection="1">
      <alignment horizontal="center" vertical="center" shrinkToFit="1"/>
      <protection hidden="1"/>
    </xf>
    <xf numFmtId="170" fontId="51" fillId="8" borderId="0" xfId="30" applyNumberFormat="1" applyFont="1" applyFill="1" applyAlignment="1" applyProtection="1">
      <alignment horizontal="center" vertical="center"/>
      <protection hidden="1"/>
    </xf>
    <xf numFmtId="0" fontId="14" fillId="8" borderId="0" xfId="30" applyFont="1" applyFill="1" applyAlignment="1" applyProtection="1">
      <alignment horizontal="center" vertical="center"/>
      <protection hidden="1"/>
    </xf>
    <xf numFmtId="171" fontId="23" fillId="8" borderId="0" xfId="30" applyNumberFormat="1" applyFont="1" applyFill="1" applyAlignment="1" applyProtection="1">
      <alignment horizontal="center" vertical="center" shrinkToFit="1"/>
      <protection hidden="1"/>
    </xf>
    <xf numFmtId="3" fontId="46" fillId="8" borderId="0" xfId="30" applyNumberFormat="1" applyFont="1" applyFill="1" applyAlignment="1" applyProtection="1">
      <alignment horizontal="center" vertical="center"/>
      <protection hidden="1"/>
    </xf>
    <xf numFmtId="0" fontId="15" fillId="8" borderId="0" xfId="30" applyFont="1" applyFill="1" applyAlignment="1" applyProtection="1">
      <alignment horizontal="center" vertical="center"/>
      <protection hidden="1"/>
    </xf>
    <xf numFmtId="0" fontId="57" fillId="8" borderId="0" xfId="30" applyFont="1" applyFill="1" applyAlignment="1" applyProtection="1">
      <alignment horizontal="center" vertical="center"/>
      <protection hidden="1"/>
    </xf>
    <xf numFmtId="171" fontId="45" fillId="8" borderId="0" xfId="30" applyNumberFormat="1" applyFont="1" applyFill="1" applyAlignment="1" applyProtection="1">
      <alignment horizontal="center" vertical="center" shrinkToFit="1"/>
      <protection hidden="1"/>
    </xf>
    <xf numFmtId="0" fontId="59" fillId="8" borderId="0" xfId="30" applyFont="1" applyFill="1" applyAlignment="1" applyProtection="1">
      <alignment horizontal="center" vertical="center"/>
      <protection hidden="1"/>
    </xf>
    <xf numFmtId="0" fontId="54" fillId="8" borderId="0" xfId="30" applyFont="1" applyFill="1" applyAlignment="1" applyProtection="1">
      <alignment horizontal="center" vertical="center"/>
      <protection hidden="1"/>
    </xf>
    <xf numFmtId="0" fontId="23" fillId="8" borderId="0" xfId="30" applyFont="1" applyFill="1" applyAlignment="1" applyProtection="1">
      <alignment vertical="center"/>
      <protection hidden="1"/>
    </xf>
    <xf numFmtId="0" fontId="56" fillId="8" borderId="0" xfId="30" applyFont="1" applyFill="1" applyAlignment="1" applyProtection="1">
      <alignment vertical="center"/>
      <protection hidden="1"/>
    </xf>
    <xf numFmtId="0" fontId="55" fillId="8" borderId="0" xfId="30" applyFont="1" applyFill="1" applyAlignment="1" applyProtection="1">
      <alignment vertical="center"/>
      <protection hidden="1"/>
    </xf>
    <xf numFmtId="0" fontId="79" fillId="8" borderId="0" xfId="30" applyFont="1" applyFill="1" applyAlignment="1" applyProtection="1">
      <alignment vertical="center"/>
      <protection hidden="1"/>
    </xf>
    <xf numFmtId="3" fontId="23" fillId="8" borderId="0" xfId="30" applyNumberFormat="1" applyFont="1" applyFill="1" applyAlignment="1" applyProtection="1">
      <alignment vertical="center"/>
      <protection hidden="1"/>
    </xf>
    <xf numFmtId="169" fontId="51" fillId="8" borderId="0" xfId="30" applyNumberFormat="1" applyFont="1" applyFill="1" applyAlignment="1" applyProtection="1">
      <alignment horizontal="center" vertical="center"/>
      <protection hidden="1"/>
    </xf>
    <xf numFmtId="171" fontId="17" fillId="8" borderId="0" xfId="30" applyNumberFormat="1" applyFont="1" applyFill="1" applyAlignment="1" applyProtection="1">
      <alignment horizontal="center" vertical="center" shrinkToFit="1"/>
      <protection hidden="1"/>
    </xf>
    <xf numFmtId="171" fontId="51" fillId="8" borderId="0" xfId="30" applyNumberFormat="1" applyFont="1" applyFill="1" applyAlignment="1" applyProtection="1">
      <alignment horizontal="center" vertical="center" shrinkToFit="1"/>
      <protection hidden="1"/>
    </xf>
    <xf numFmtId="171" fontId="56" fillId="8" borderId="0" xfId="30" applyNumberFormat="1" applyFont="1" applyFill="1" applyAlignment="1" applyProtection="1">
      <alignment vertical="center"/>
      <protection hidden="1"/>
    </xf>
    <xf numFmtId="0" fontId="48" fillId="8" borderId="0" xfId="30" applyFont="1" applyFill="1" applyAlignment="1" applyProtection="1">
      <alignment vertical="center"/>
      <protection hidden="1"/>
    </xf>
    <xf numFmtId="0" fontId="49" fillId="8" borderId="0" xfId="30" applyFont="1" applyFill="1" applyAlignment="1" applyProtection="1">
      <alignment vertical="center"/>
      <protection hidden="1"/>
    </xf>
    <xf numFmtId="0" fontId="50" fillId="8" borderId="0" xfId="30" applyFont="1" applyFill="1" applyAlignment="1" applyProtection="1">
      <alignment vertical="center"/>
      <protection hidden="1"/>
    </xf>
    <xf numFmtId="0" fontId="91" fillId="8" borderId="0" xfId="30" applyFont="1" applyFill="1" applyAlignment="1" applyProtection="1">
      <alignment vertical="center"/>
      <protection hidden="1"/>
    </xf>
    <xf numFmtId="0" fontId="90" fillId="8" borderId="0" xfId="30" applyFont="1" applyFill="1" applyAlignment="1" applyProtection="1">
      <alignment horizontal="left" vertical="center"/>
      <protection hidden="1"/>
    </xf>
    <xf numFmtId="0" fontId="89" fillId="8" borderId="0" xfId="30" applyFont="1" applyFill="1" applyAlignment="1" applyProtection="1">
      <alignment horizontal="left" vertical="center"/>
      <protection hidden="1"/>
    </xf>
    <xf numFmtId="0" fontId="53" fillId="8" borderId="0" xfId="30" applyFont="1" applyFill="1" applyAlignment="1" applyProtection="1">
      <alignment vertical="center"/>
      <protection hidden="1"/>
    </xf>
    <xf numFmtId="0" fontId="54" fillId="8" borderId="0" xfId="30" applyFont="1" applyFill="1" applyAlignment="1" applyProtection="1">
      <alignment vertical="center"/>
      <protection hidden="1"/>
    </xf>
    <xf numFmtId="0" fontId="45" fillId="8" borderId="0" xfId="28" applyFont="1" applyFill="1" applyProtection="1">
      <alignment horizontal="center" vertical="center" shrinkToFit="1"/>
      <protection hidden="1"/>
    </xf>
    <xf numFmtId="0" fontId="47" fillId="8" borderId="0" xfId="28" applyFont="1" applyFill="1" applyProtection="1">
      <alignment horizontal="center" vertical="center" shrinkToFit="1"/>
      <protection hidden="1"/>
    </xf>
    <xf numFmtId="0" fontId="50" fillId="8" borderId="0" xfId="28" applyFont="1" applyFill="1" applyProtection="1">
      <alignment horizontal="center" vertical="center" shrinkToFit="1"/>
      <protection hidden="1"/>
    </xf>
    <xf numFmtId="0" fontId="78" fillId="8" borderId="0" xfId="30" applyFont="1" applyFill="1" applyAlignment="1" applyProtection="1">
      <alignment vertical="center"/>
      <protection hidden="1"/>
    </xf>
    <xf numFmtId="0" fontId="79" fillId="8" borderId="0" xfId="28" applyFont="1" applyFill="1" applyProtection="1">
      <alignment horizontal="center" vertical="center" shrinkToFit="1"/>
      <protection hidden="1"/>
    </xf>
    <xf numFmtId="0" fontId="78" fillId="8" borderId="0" xfId="30" applyFont="1" applyFill="1" applyAlignment="1" applyProtection="1">
      <alignment horizontal="center" vertical="center"/>
      <protection hidden="1"/>
    </xf>
    <xf numFmtId="2" fontId="79" fillId="8" borderId="0" xfId="30" applyNumberFormat="1" applyFont="1" applyFill="1" applyAlignment="1" applyProtection="1">
      <alignment vertical="center"/>
      <protection hidden="1"/>
    </xf>
    <xf numFmtId="0" fontId="79" fillId="8" borderId="0" xfId="30" applyFont="1" applyFill="1" applyAlignment="1" applyProtection="1">
      <alignment horizontal="center" vertical="center"/>
      <protection hidden="1"/>
    </xf>
    <xf numFmtId="1" fontId="78" fillId="8" borderId="0" xfId="30" applyNumberFormat="1" applyFont="1" applyFill="1" applyAlignment="1" applyProtection="1">
      <alignment vertical="center"/>
      <protection hidden="1"/>
    </xf>
    <xf numFmtId="166" fontId="78" fillId="8" borderId="0" xfId="8" applyNumberFormat="1" applyFont="1" applyFill="1" applyAlignment="1" applyProtection="1">
      <alignment vertical="center"/>
      <protection locked="0" hidden="1"/>
    </xf>
    <xf numFmtId="166" fontId="78" fillId="8" borderId="0" xfId="8" applyNumberFormat="1" applyFont="1" applyFill="1" applyAlignment="1" applyProtection="1">
      <alignment vertical="center"/>
      <protection hidden="1"/>
    </xf>
    <xf numFmtId="164" fontId="78" fillId="8" borderId="0" xfId="28" applyNumberFormat="1" applyFont="1" applyFill="1" applyProtection="1">
      <alignment horizontal="center" vertical="center" shrinkToFit="1"/>
      <protection hidden="1"/>
    </xf>
    <xf numFmtId="0" fontId="78" fillId="8" borderId="0" xfId="28" applyFont="1" applyFill="1" applyProtection="1">
      <alignment horizontal="center" vertical="center" shrinkToFit="1"/>
      <protection hidden="1"/>
    </xf>
    <xf numFmtId="0" fontId="46" fillId="8" borderId="0" xfId="30" applyFont="1" applyFill="1" applyAlignment="1" applyProtection="1">
      <alignment vertical="center"/>
      <protection hidden="1"/>
    </xf>
    <xf numFmtId="0" fontId="46" fillId="8" borderId="0" xfId="30" applyFont="1" applyFill="1" applyAlignment="1" applyProtection="1">
      <alignment horizontal="center" vertical="center"/>
      <protection hidden="1"/>
    </xf>
    <xf numFmtId="0" fontId="50" fillId="8" borderId="0" xfId="30" applyFont="1" applyFill="1" applyAlignment="1" applyProtection="1">
      <alignment horizontal="center" vertical="center"/>
      <protection hidden="1"/>
    </xf>
    <xf numFmtId="0" fontId="46" fillId="8" borderId="0" xfId="28" applyFont="1" applyFill="1" applyAlignment="1" applyProtection="1">
      <alignment horizontal="left" vertical="center" shrinkToFit="1"/>
      <protection hidden="1"/>
    </xf>
    <xf numFmtId="171" fontId="102" fillId="5" borderId="108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01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04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22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18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19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20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37" xfId="30" applyNumberFormat="1" applyFont="1" applyFill="1" applyBorder="1" applyAlignment="1" applyProtection="1">
      <alignment horizontal="center" vertical="center" shrinkToFit="1"/>
      <protection hidden="1"/>
    </xf>
    <xf numFmtId="166" fontId="102" fillId="5" borderId="102" xfId="30" applyNumberFormat="1" applyFont="1" applyFill="1" applyBorder="1" applyAlignment="1" applyProtection="1">
      <alignment horizontal="right" vertical="center"/>
      <protection hidden="1"/>
    </xf>
    <xf numFmtId="0" fontId="102" fillId="8" borderId="0" xfId="30" applyFont="1" applyFill="1" applyAlignment="1" applyProtection="1">
      <alignment horizontal="left" vertical="center"/>
      <protection hidden="1"/>
    </xf>
    <xf numFmtId="166" fontId="102" fillId="5" borderId="105" xfId="30" applyNumberFormat="1" applyFont="1" applyFill="1" applyBorder="1" applyAlignment="1" applyProtection="1">
      <alignment horizontal="right" vertical="center"/>
      <protection hidden="1"/>
    </xf>
    <xf numFmtId="169" fontId="102" fillId="8" borderId="0" xfId="30" applyNumberFormat="1" applyFont="1" applyFill="1" applyAlignment="1" applyProtection="1">
      <alignment horizontal="left" vertical="center"/>
      <protection hidden="1"/>
    </xf>
    <xf numFmtId="0" fontId="17" fillId="22" borderId="41" xfId="30" applyFont="1" applyFill="1" applyBorder="1" applyAlignment="1" applyProtection="1">
      <alignment horizontal="center" vertical="center"/>
      <protection hidden="1"/>
    </xf>
    <xf numFmtId="0" fontId="70" fillId="22" borderId="49" xfId="30" applyFont="1" applyFill="1" applyBorder="1" applyAlignment="1" applyProtection="1">
      <alignment horizontal="center" vertical="center"/>
      <protection hidden="1"/>
    </xf>
    <xf numFmtId="0" fontId="70" fillId="22" borderId="50" xfId="30" applyFont="1" applyFill="1" applyBorder="1" applyAlignment="1" applyProtection="1">
      <alignment horizontal="center" vertical="center"/>
      <protection hidden="1"/>
    </xf>
    <xf numFmtId="0" fontId="70" fillId="22" borderId="44" xfId="30" applyFont="1" applyFill="1" applyBorder="1" applyAlignment="1" applyProtection="1">
      <alignment horizontal="center" vertical="center"/>
      <protection hidden="1"/>
    </xf>
    <xf numFmtId="0" fontId="17" fillId="22" borderId="69" xfId="30" applyFont="1" applyFill="1" applyBorder="1" applyAlignment="1" applyProtection="1">
      <alignment horizontal="center" vertical="center"/>
      <protection hidden="1"/>
    </xf>
    <xf numFmtId="0" fontId="17" fillId="22" borderId="70" xfId="30" applyFont="1" applyFill="1" applyBorder="1" applyAlignment="1" applyProtection="1">
      <alignment horizontal="center" vertical="center"/>
      <protection hidden="1"/>
    </xf>
    <xf numFmtId="0" fontId="17" fillId="23" borderId="71" xfId="30" applyFont="1" applyFill="1" applyBorder="1" applyAlignment="1" applyProtection="1">
      <alignment horizontal="center" vertical="center" shrinkToFit="1"/>
      <protection hidden="1"/>
    </xf>
    <xf numFmtId="0" fontId="17" fillId="23" borderId="73" xfId="30" applyFont="1" applyFill="1" applyBorder="1" applyAlignment="1" applyProtection="1">
      <alignment horizontal="center" vertical="center" shrinkToFit="1"/>
      <protection hidden="1"/>
    </xf>
    <xf numFmtId="0" fontId="17" fillId="23" borderId="76" xfId="30" applyFont="1" applyFill="1" applyBorder="1" applyAlignment="1" applyProtection="1">
      <alignment horizontal="center" vertical="center" shrinkToFit="1"/>
      <protection hidden="1"/>
    </xf>
    <xf numFmtId="0" fontId="26" fillId="22" borderId="44" xfId="39" applyFont="1" applyFill="1" applyBorder="1" applyProtection="1">
      <alignment horizontal="center" vertical="center" shrinkToFit="1"/>
      <protection hidden="1"/>
    </xf>
    <xf numFmtId="171" fontId="46" fillId="5" borderId="69" xfId="30" applyNumberFormat="1" applyFont="1" applyFill="1" applyBorder="1" applyAlignment="1" applyProtection="1">
      <alignment horizontal="center" vertical="center"/>
      <protection hidden="1"/>
    </xf>
    <xf numFmtId="0" fontId="46" fillId="5" borderId="70" xfId="30" applyFont="1" applyFill="1" applyBorder="1" applyAlignment="1" applyProtection="1">
      <alignment horizontal="center" vertical="center"/>
      <protection hidden="1"/>
    </xf>
    <xf numFmtId="171" fontId="46" fillId="5" borderId="119" xfId="30" applyNumberFormat="1" applyFont="1" applyFill="1" applyBorder="1" applyAlignment="1" applyProtection="1">
      <alignment horizontal="center" vertical="center"/>
      <protection hidden="1"/>
    </xf>
    <xf numFmtId="171" fontId="46" fillId="5" borderId="155" xfId="30" applyNumberFormat="1" applyFont="1" applyFill="1" applyBorder="1" applyAlignment="1" applyProtection="1">
      <alignment horizontal="center" vertical="center"/>
      <protection hidden="1"/>
    </xf>
    <xf numFmtId="2" fontId="50" fillId="8" borderId="0" xfId="30" applyNumberFormat="1" applyFont="1" applyFill="1" applyAlignment="1" applyProtection="1">
      <alignment horizontal="center" vertical="center"/>
      <protection hidden="1"/>
    </xf>
    <xf numFmtId="3" fontId="46" fillId="11" borderId="154" xfId="30" applyNumberFormat="1" applyFont="1" applyFill="1" applyBorder="1" applyAlignment="1" applyProtection="1">
      <alignment horizontal="center" vertical="center"/>
      <protection hidden="1"/>
    </xf>
    <xf numFmtId="3" fontId="46" fillId="11" borderId="119" xfId="30" applyNumberFormat="1" applyFont="1" applyFill="1" applyBorder="1" applyAlignment="1" applyProtection="1">
      <alignment horizontal="center" vertical="center"/>
      <protection hidden="1"/>
    </xf>
    <xf numFmtId="3" fontId="102" fillId="5" borderId="122" xfId="30" applyNumberFormat="1" applyFont="1" applyFill="1" applyBorder="1" applyAlignment="1" applyProtection="1">
      <alignment horizontal="center" vertical="center" shrinkToFit="1"/>
      <protection hidden="1"/>
    </xf>
    <xf numFmtId="0" fontId="48" fillId="5" borderId="156" xfId="28" applyFont="1" applyFill="1" applyBorder="1" applyProtection="1">
      <alignment horizontal="center" vertical="center" shrinkToFit="1"/>
      <protection locked="0" hidden="1"/>
    </xf>
    <xf numFmtId="1" fontId="102" fillId="5" borderId="157" xfId="30" applyNumberFormat="1" applyFont="1" applyFill="1" applyBorder="1" applyAlignment="1" applyProtection="1">
      <alignment horizontal="right" vertical="center"/>
      <protection hidden="1"/>
    </xf>
    <xf numFmtId="0" fontId="102" fillId="5" borderId="157" xfId="30" applyFont="1" applyFill="1" applyBorder="1" applyAlignment="1" applyProtection="1">
      <alignment horizontal="center" vertical="center" shrinkToFit="1"/>
      <protection hidden="1"/>
    </xf>
    <xf numFmtId="0" fontId="102" fillId="5" borderId="153" xfId="30" applyFont="1" applyFill="1" applyBorder="1" applyAlignment="1" applyProtection="1">
      <alignment horizontal="center" vertical="center" shrinkToFit="1"/>
      <protection locked="0" hidden="1"/>
    </xf>
    <xf numFmtId="171" fontId="102" fillId="5" borderId="121" xfId="8" applyNumberFormat="1" applyFont="1" applyFill="1" applyBorder="1" applyAlignment="1" applyProtection="1">
      <alignment horizontal="center" vertical="center" shrinkToFit="1"/>
      <protection locked="0" hidden="1"/>
    </xf>
    <xf numFmtId="171" fontId="102" fillId="5" borderId="69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74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77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69" xfId="30" applyNumberFormat="1" applyFont="1" applyFill="1" applyBorder="1" applyAlignment="1" applyProtection="1">
      <alignment horizontal="center" vertical="center"/>
      <protection hidden="1"/>
    </xf>
    <xf numFmtId="171" fontId="102" fillId="5" borderId="70" xfId="30" applyNumberFormat="1" applyFont="1" applyFill="1" applyBorder="1" applyAlignment="1" applyProtection="1">
      <alignment horizontal="center" vertical="center"/>
      <protection hidden="1"/>
    </xf>
    <xf numFmtId="171" fontId="102" fillId="5" borderId="44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70" xfId="30" applyNumberFormat="1" applyFont="1" applyFill="1" applyBorder="1" applyAlignment="1" applyProtection="1">
      <alignment horizontal="center" vertical="center" shrinkToFit="1"/>
      <protection hidden="1"/>
    </xf>
    <xf numFmtId="171" fontId="104" fillId="5" borderId="72" xfId="30" applyNumberFormat="1" applyFont="1" applyFill="1" applyBorder="1" applyAlignment="1" applyProtection="1">
      <alignment horizontal="center" vertical="center" shrinkToFit="1"/>
      <protection hidden="1"/>
    </xf>
    <xf numFmtId="171" fontId="104" fillId="5" borderId="75" xfId="30" applyNumberFormat="1" applyFont="1" applyFill="1" applyBorder="1" applyAlignment="1" applyProtection="1">
      <alignment horizontal="center" vertical="center" shrinkToFit="1"/>
      <protection hidden="1"/>
    </xf>
    <xf numFmtId="171" fontId="104" fillId="5" borderId="78" xfId="30" applyNumberFormat="1" applyFont="1" applyFill="1" applyBorder="1" applyAlignment="1" applyProtection="1">
      <alignment horizontal="center" vertical="center" shrinkToFit="1"/>
      <protection hidden="1"/>
    </xf>
    <xf numFmtId="171" fontId="104" fillId="5" borderId="69" xfId="30" applyNumberFormat="1" applyFont="1" applyFill="1" applyBorder="1" applyAlignment="1" applyProtection="1">
      <alignment horizontal="center" vertical="center"/>
      <protection hidden="1"/>
    </xf>
    <xf numFmtId="171" fontId="104" fillId="5" borderId="70" xfId="30" applyNumberFormat="1" applyFont="1" applyFill="1" applyBorder="1" applyAlignment="1" applyProtection="1">
      <alignment horizontal="center" vertical="center"/>
      <protection hidden="1"/>
    </xf>
    <xf numFmtId="171" fontId="104" fillId="5" borderId="44" xfId="30" applyNumberFormat="1" applyFont="1" applyFill="1" applyBorder="1" applyAlignment="1" applyProtection="1">
      <alignment horizontal="center" vertical="center" shrinkToFit="1"/>
      <protection hidden="1"/>
    </xf>
    <xf numFmtId="171" fontId="104" fillId="5" borderId="74" xfId="30" applyNumberFormat="1" applyFont="1" applyFill="1" applyBorder="1" applyAlignment="1" applyProtection="1">
      <alignment horizontal="center" vertical="center" shrinkToFit="1"/>
      <protection hidden="1"/>
    </xf>
    <xf numFmtId="171" fontId="104" fillId="5" borderId="70" xfId="30" applyNumberFormat="1" applyFont="1" applyFill="1" applyBorder="1" applyAlignment="1" applyProtection="1">
      <alignment horizontal="center" vertical="center" shrinkToFit="1"/>
      <protection hidden="1"/>
    </xf>
    <xf numFmtId="0" fontId="34" fillId="22" borderId="41" xfId="30" applyFont="1" applyFill="1" applyBorder="1" applyAlignment="1" applyProtection="1">
      <alignment horizontal="center" vertical="center"/>
      <protection hidden="1"/>
    </xf>
    <xf numFmtId="0" fontId="34" fillId="22" borderId="49" xfId="30" applyFont="1" applyFill="1" applyBorder="1" applyAlignment="1" applyProtection="1">
      <alignment horizontal="center" vertical="center"/>
      <protection hidden="1"/>
    </xf>
    <xf numFmtId="0" fontId="34" fillId="22" borderId="42" xfId="30" applyFont="1" applyFill="1" applyBorder="1" applyAlignment="1" applyProtection="1">
      <alignment horizontal="center" vertical="center"/>
      <protection hidden="1"/>
    </xf>
    <xf numFmtId="0" fontId="34" fillId="22" borderId="50" xfId="30" applyFont="1" applyFill="1" applyBorder="1" applyAlignment="1" applyProtection="1">
      <alignment horizontal="center" vertical="center"/>
      <protection hidden="1"/>
    </xf>
    <xf numFmtId="0" fontId="34" fillId="22" borderId="43" xfId="30" applyFont="1" applyFill="1" applyBorder="1" applyAlignment="1" applyProtection="1">
      <alignment horizontal="center" vertical="center" shrinkToFit="1"/>
      <protection hidden="1"/>
    </xf>
    <xf numFmtId="166" fontId="34" fillId="23" borderId="44" xfId="8" applyNumberFormat="1" applyFont="1" applyFill="1" applyBorder="1" applyAlignment="1" applyProtection="1">
      <alignment vertical="center" shrinkToFit="1"/>
      <protection hidden="1"/>
    </xf>
    <xf numFmtId="166" fontId="34" fillId="23" borderId="44" xfId="30" applyNumberFormat="1" applyFont="1" applyFill="1" applyBorder="1" applyAlignment="1" applyProtection="1">
      <alignment vertical="center" shrinkToFit="1"/>
      <protection hidden="1"/>
    </xf>
    <xf numFmtId="166" fontId="31" fillId="8" borderId="69" xfId="30" applyNumberFormat="1" applyFont="1" applyFill="1" applyBorder="1" applyAlignment="1" applyProtection="1">
      <alignment vertical="center" shrinkToFit="1"/>
      <protection hidden="1"/>
    </xf>
    <xf numFmtId="166" fontId="31" fillId="8" borderId="74" xfId="30" applyNumberFormat="1" applyFont="1" applyFill="1" applyBorder="1" applyAlignment="1" applyProtection="1">
      <alignment vertical="center" shrinkToFit="1"/>
      <protection hidden="1"/>
    </xf>
    <xf numFmtId="166" fontId="31" fillId="8" borderId="70" xfId="30" applyNumberFormat="1" applyFont="1" applyFill="1" applyBorder="1" applyAlignment="1" applyProtection="1">
      <alignment vertical="center" shrinkToFit="1"/>
      <protection hidden="1"/>
    </xf>
    <xf numFmtId="0" fontId="63" fillId="8" borderId="0" xfId="30" applyFont="1" applyFill="1" applyAlignment="1" applyProtection="1">
      <alignment vertical="center"/>
      <protection hidden="1"/>
    </xf>
    <xf numFmtId="0" fontId="80" fillId="8" borderId="0" xfId="30" applyFont="1" applyFill="1" applyAlignment="1" applyProtection="1">
      <alignment vertical="center" shrinkToFit="1"/>
      <protection hidden="1"/>
    </xf>
    <xf numFmtId="0" fontId="42" fillId="8" borderId="0" xfId="30" applyFont="1" applyFill="1" applyAlignment="1" applyProtection="1">
      <alignment horizontal="center" vertical="center" shrinkToFit="1"/>
      <protection hidden="1"/>
    </xf>
    <xf numFmtId="166" fontId="42" fillId="8" borderId="0" xfId="30" applyNumberFormat="1" applyFont="1" applyFill="1" applyAlignment="1" applyProtection="1">
      <alignment vertical="center" shrinkToFit="1"/>
      <protection hidden="1"/>
    </xf>
    <xf numFmtId="166" fontId="64" fillId="8" borderId="0" xfId="30" applyNumberFormat="1" applyFont="1" applyFill="1" applyAlignment="1" applyProtection="1">
      <alignment vertical="center" shrinkToFit="1"/>
      <protection hidden="1"/>
    </xf>
    <xf numFmtId="0" fontId="61" fillId="8" borderId="0" xfId="30" applyFont="1" applyFill="1" applyAlignment="1" applyProtection="1">
      <alignment vertical="center"/>
      <protection hidden="1"/>
    </xf>
    <xf numFmtId="0" fontId="81" fillId="8" borderId="0" xfId="30" applyFont="1" applyFill="1" applyAlignment="1" applyProtection="1">
      <alignment vertical="center"/>
      <protection hidden="1"/>
    </xf>
    <xf numFmtId="0" fontId="29" fillId="8" borderId="0" xfId="30" applyFont="1" applyFill="1" applyAlignment="1" applyProtection="1">
      <alignment vertical="center"/>
      <protection hidden="1"/>
    </xf>
    <xf numFmtId="0" fontId="65" fillId="8" borderId="0" xfId="30" applyFont="1" applyFill="1" applyAlignment="1" applyProtection="1">
      <alignment vertical="center"/>
      <protection hidden="1"/>
    </xf>
    <xf numFmtId="0" fontId="31" fillId="8" borderId="0" xfId="30" applyFont="1" applyFill="1" applyAlignment="1" applyProtection="1">
      <alignment vertical="center"/>
      <protection hidden="1"/>
    </xf>
    <xf numFmtId="0" fontId="32" fillId="8" borderId="0" xfId="30" applyFont="1" applyFill="1" applyAlignment="1" applyProtection="1">
      <alignment vertical="center"/>
      <protection hidden="1"/>
    </xf>
    <xf numFmtId="0" fontId="82" fillId="8" borderId="0" xfId="30" applyFont="1" applyFill="1" applyAlignment="1" applyProtection="1">
      <alignment vertical="center"/>
      <protection hidden="1"/>
    </xf>
    <xf numFmtId="0" fontId="73" fillId="8" borderId="0" xfId="30" applyFont="1" applyFill="1" applyAlignment="1" applyProtection="1">
      <alignment horizontal="center" vertical="center" shrinkToFit="1"/>
      <protection hidden="1"/>
    </xf>
    <xf numFmtId="0" fontId="31" fillId="8" borderId="0" xfId="30" applyFont="1" applyFill="1" applyAlignment="1" applyProtection="1">
      <alignment horizontal="left" vertical="center"/>
      <protection hidden="1"/>
    </xf>
    <xf numFmtId="0" fontId="31" fillId="8" borderId="0" xfId="30" applyFont="1" applyFill="1" applyAlignment="1" applyProtection="1">
      <alignment horizontal="center" vertical="center"/>
      <protection hidden="1"/>
    </xf>
    <xf numFmtId="174" fontId="73" fillId="8" borderId="0" xfId="30" applyNumberFormat="1" applyFont="1" applyFill="1" applyAlignment="1" applyProtection="1">
      <alignment vertical="center"/>
      <protection hidden="1"/>
    </xf>
    <xf numFmtId="0" fontId="93" fillId="8" borderId="0" xfId="30" applyFont="1" applyFill="1" applyAlignment="1" applyProtection="1">
      <alignment vertical="center"/>
      <protection hidden="1"/>
    </xf>
    <xf numFmtId="0" fontId="73" fillId="8" borderId="0" xfId="30" applyFont="1" applyFill="1" applyAlignment="1" applyProtection="1">
      <alignment horizontal="center" vertical="center"/>
      <protection hidden="1"/>
    </xf>
    <xf numFmtId="1" fontId="73" fillId="8" borderId="0" xfId="30" applyNumberFormat="1" applyFont="1" applyFill="1" applyAlignment="1" applyProtection="1">
      <alignment horizontal="center" vertical="center" shrinkToFit="1"/>
      <protection hidden="1"/>
    </xf>
    <xf numFmtId="2" fontId="81" fillId="8" borderId="0" xfId="30" applyNumberFormat="1" applyFont="1" applyFill="1" applyAlignment="1" applyProtection="1">
      <alignment horizontal="center" vertical="center"/>
      <protection hidden="1"/>
    </xf>
    <xf numFmtId="2" fontId="29" fillId="8" borderId="0" xfId="30" applyNumberFormat="1" applyFont="1" applyFill="1" applyAlignment="1" applyProtection="1">
      <alignment vertical="center"/>
      <protection hidden="1"/>
    </xf>
    <xf numFmtId="1" fontId="73" fillId="8" borderId="0" xfId="30" applyNumberFormat="1" applyFont="1" applyFill="1" applyAlignment="1" applyProtection="1">
      <alignment horizontal="center" vertical="center"/>
      <protection hidden="1"/>
    </xf>
    <xf numFmtId="0" fontId="66" fillId="8" borderId="0" xfId="30" applyFont="1" applyFill="1" applyAlignment="1" applyProtection="1">
      <alignment vertical="center"/>
      <protection hidden="1"/>
    </xf>
    <xf numFmtId="3" fontId="73" fillId="8" borderId="0" xfId="8" applyNumberFormat="1" applyFont="1" applyFill="1" applyAlignment="1" applyProtection="1">
      <alignment horizontal="center" vertical="center" shrinkToFit="1"/>
      <protection hidden="1"/>
    </xf>
    <xf numFmtId="166" fontId="32" fillId="8" borderId="0" xfId="8" applyNumberFormat="1" applyFont="1" applyFill="1" applyAlignment="1" applyProtection="1">
      <alignment vertical="center"/>
      <protection hidden="1"/>
    </xf>
    <xf numFmtId="0" fontId="32" fillId="8" borderId="0" xfId="30" applyFont="1" applyFill="1" applyAlignment="1" applyProtection="1">
      <alignment horizontal="center" vertical="center"/>
      <protection hidden="1"/>
    </xf>
    <xf numFmtId="0" fontId="80" fillId="8" borderId="0" xfId="30" applyFont="1" applyFill="1" applyAlignment="1" applyProtection="1">
      <alignment vertical="center"/>
      <protection hidden="1"/>
    </xf>
    <xf numFmtId="166" fontId="32" fillId="8" borderId="0" xfId="8" applyNumberFormat="1" applyFont="1" applyFill="1" applyAlignment="1" applyProtection="1">
      <alignment horizontal="center" vertical="center"/>
      <protection hidden="1"/>
    </xf>
    <xf numFmtId="0" fontId="99" fillId="8" borderId="0" xfId="30" applyFont="1" applyFill="1" applyAlignment="1" applyProtection="1">
      <alignment vertical="center"/>
      <protection hidden="1"/>
    </xf>
    <xf numFmtId="0" fontId="27" fillId="8" borderId="0" xfId="30" applyFont="1" applyFill="1" applyAlignment="1" applyProtection="1">
      <alignment horizontal="left" vertical="center"/>
      <protection hidden="1"/>
    </xf>
    <xf numFmtId="0" fontId="27" fillId="8" borderId="0" xfId="30" applyFont="1" applyFill="1" applyAlignment="1" applyProtection="1">
      <alignment horizontal="center" vertical="center"/>
      <protection hidden="1"/>
    </xf>
    <xf numFmtId="0" fontId="19" fillId="8" borderId="0" xfId="30" applyFont="1" applyFill="1" applyAlignment="1" applyProtection="1">
      <alignment vertical="center"/>
      <protection hidden="1"/>
    </xf>
    <xf numFmtId="0" fontId="83" fillId="8" borderId="0" xfId="30" applyFont="1" applyFill="1" applyAlignment="1" applyProtection="1">
      <alignment vertical="center"/>
      <protection hidden="1"/>
    </xf>
    <xf numFmtId="0" fontId="62" fillId="8" borderId="0" xfId="30" applyFont="1" applyFill="1" applyAlignment="1" applyProtection="1">
      <alignment vertical="center"/>
      <protection hidden="1"/>
    </xf>
    <xf numFmtId="166" fontId="32" fillId="8" borderId="0" xfId="8" applyNumberFormat="1" applyFont="1" applyFill="1" applyBorder="1" applyAlignment="1" applyProtection="1">
      <alignment vertical="center"/>
      <protection hidden="1"/>
    </xf>
    <xf numFmtId="0" fontId="45" fillId="8" borderId="0" xfId="27" applyFont="1" applyFill="1" applyAlignment="1" applyProtection="1">
      <alignment vertical="center" shrinkToFit="1"/>
      <protection hidden="1"/>
    </xf>
    <xf numFmtId="0" fontId="25" fillId="22" borderId="43" xfId="27" applyFont="1" applyFill="1" applyBorder="1" applyAlignment="1" applyProtection="1">
      <alignment horizontal="center" vertical="center" shrinkToFit="1"/>
      <protection hidden="1"/>
    </xf>
    <xf numFmtId="0" fontId="25" fillId="22" borderId="43" xfId="27" applyFont="1" applyFill="1" applyBorder="1" applyAlignment="1" applyProtection="1">
      <alignment horizontal="left" vertical="center" shrinkToFit="1"/>
      <protection hidden="1"/>
    </xf>
    <xf numFmtId="0" fontId="25" fillId="22" borderId="43" xfId="27" applyFont="1" applyFill="1" applyBorder="1" applyAlignment="1" applyProtection="1">
      <alignment vertical="center" shrinkToFit="1"/>
      <protection hidden="1"/>
    </xf>
    <xf numFmtId="0" fontId="42" fillId="22" borderId="17" xfId="27" applyFont="1" applyFill="1" applyBorder="1" applyAlignment="1" applyProtection="1">
      <alignment vertical="center"/>
      <protection hidden="1"/>
    </xf>
    <xf numFmtId="0" fontId="42" fillId="22" borderId="159" xfId="27" applyFont="1" applyFill="1" applyBorder="1" applyAlignment="1" applyProtection="1">
      <alignment horizontal="center" vertical="center"/>
      <protection hidden="1"/>
    </xf>
    <xf numFmtId="174" fontId="24" fillId="8" borderId="74" xfId="27" applyNumberFormat="1" applyFont="1" applyFill="1" applyBorder="1" applyAlignment="1" applyProtection="1">
      <alignment horizontal="center" vertical="center" shrinkToFit="1"/>
      <protection hidden="1"/>
    </xf>
    <xf numFmtId="0" fontId="25" fillId="16" borderId="44" xfId="27" applyFont="1" applyFill="1" applyBorder="1" applyAlignment="1" applyProtection="1">
      <alignment horizontal="center" vertical="center" shrinkToFit="1"/>
      <protection hidden="1"/>
    </xf>
    <xf numFmtId="0" fontId="25" fillId="16" borderId="51" xfId="27" applyFont="1" applyFill="1" applyBorder="1" applyAlignment="1" applyProtection="1">
      <alignment horizontal="center" vertical="center" shrinkToFit="1"/>
      <protection hidden="1"/>
    </xf>
    <xf numFmtId="41" fontId="26" fillId="23" borderId="46" xfId="27" applyNumberFormat="1" applyFont="1" applyFill="1" applyBorder="1" applyAlignment="1" applyProtection="1">
      <alignment horizontal="center" vertical="center" shrinkToFit="1"/>
      <protection hidden="1"/>
    </xf>
    <xf numFmtId="41" fontId="26" fillId="23" borderId="60" xfId="27" applyNumberFormat="1" applyFont="1" applyFill="1" applyBorder="1" applyAlignment="1" applyProtection="1">
      <alignment horizontal="center" vertical="center" shrinkToFit="1"/>
      <protection hidden="1"/>
    </xf>
    <xf numFmtId="0" fontId="26" fillId="15" borderId="67" xfId="27" applyFont="1" applyFill="1" applyBorder="1" applyAlignment="1" applyProtection="1">
      <alignment horizontal="center" vertical="center" shrinkToFit="1"/>
      <protection hidden="1"/>
    </xf>
    <xf numFmtId="0" fontId="50" fillId="9" borderId="64" xfId="27" applyFont="1" applyFill="1" applyBorder="1" applyAlignment="1" applyProtection="1">
      <alignment vertical="center" shrinkToFit="1"/>
      <protection locked="0" hidden="1"/>
    </xf>
    <xf numFmtId="0" fontId="26" fillId="22" borderId="63" xfId="27" applyFont="1" applyFill="1" applyBorder="1" applyAlignment="1" applyProtection="1">
      <alignment horizontal="right" vertical="center" shrinkToFit="1"/>
      <protection hidden="1"/>
    </xf>
    <xf numFmtId="0" fontId="26" fillId="22" borderId="45" xfId="27" applyFont="1" applyFill="1" applyBorder="1" applyAlignment="1" applyProtection="1">
      <alignment horizontal="right" vertical="center" shrinkToFit="1"/>
      <protection hidden="1"/>
    </xf>
    <xf numFmtId="0" fontId="26" fillId="22" borderId="67" xfId="27" applyFont="1" applyFill="1" applyBorder="1" applyAlignment="1" applyProtection="1">
      <alignment horizontal="right" vertical="center" indent="1" shrinkToFit="1"/>
      <protection hidden="1"/>
    </xf>
    <xf numFmtId="0" fontId="26" fillId="22" borderId="44" xfId="27" applyFont="1" applyFill="1" applyBorder="1" applyAlignment="1" applyProtection="1">
      <alignment horizontal="right" vertical="center" indent="1" shrinkToFit="1"/>
      <protection hidden="1"/>
    </xf>
    <xf numFmtId="0" fontId="26" fillId="15" borderId="63" xfId="27" applyFont="1" applyFill="1" applyBorder="1" applyAlignment="1" applyProtection="1">
      <alignment horizontal="center" vertical="center" shrinkToFit="1"/>
      <protection hidden="1"/>
    </xf>
    <xf numFmtId="0" fontId="45" fillId="5" borderId="170" xfId="27" applyFont="1" applyFill="1" applyBorder="1" applyAlignment="1" applyProtection="1">
      <alignment vertical="center" shrinkToFit="1"/>
      <protection hidden="1"/>
    </xf>
    <xf numFmtId="0" fontId="45" fillId="5" borderId="6" xfId="27" applyFont="1" applyFill="1" applyBorder="1" applyAlignment="1" applyProtection="1">
      <alignment vertical="center" shrinkToFit="1"/>
      <protection hidden="1"/>
    </xf>
    <xf numFmtId="0" fontId="68" fillId="5" borderId="6" xfId="27" applyFont="1" applyFill="1" applyBorder="1" applyAlignment="1" applyProtection="1">
      <alignment vertical="center" shrinkToFit="1"/>
      <protection hidden="1"/>
    </xf>
    <xf numFmtId="0" fontId="69" fillId="5" borderId="6" xfId="27" applyFont="1" applyFill="1" applyBorder="1" applyAlignment="1" applyProtection="1">
      <alignment vertical="center" shrinkToFit="1"/>
      <protection hidden="1"/>
    </xf>
    <xf numFmtId="0" fontId="55" fillId="5" borderId="6" xfId="27" applyFont="1" applyFill="1" applyBorder="1" applyAlignment="1" applyProtection="1">
      <alignment vertical="center" shrinkToFit="1"/>
      <protection hidden="1"/>
    </xf>
    <xf numFmtId="0" fontId="45" fillId="5" borderId="161" xfId="27" applyFont="1" applyFill="1" applyBorder="1" applyAlignment="1" applyProtection="1">
      <alignment vertical="center" shrinkToFit="1"/>
      <protection hidden="1"/>
    </xf>
    <xf numFmtId="166" fontId="24" fillId="5" borderId="72" xfId="27" applyNumberFormat="1" applyFont="1" applyFill="1" applyBorder="1" applyAlignment="1" applyProtection="1">
      <alignment horizontal="center" vertical="center" shrinkToFit="1"/>
      <protection hidden="1"/>
    </xf>
    <xf numFmtId="41" fontId="25" fillId="4" borderId="89" xfId="27" applyNumberFormat="1" applyFont="1" applyFill="1" applyBorder="1" applyAlignment="1" applyProtection="1">
      <alignment vertical="center" shrinkToFit="1"/>
      <protection hidden="1"/>
    </xf>
    <xf numFmtId="41" fontId="25" fillId="4" borderId="91" xfId="27" applyNumberFormat="1" applyFont="1" applyFill="1" applyBorder="1" applyAlignment="1" applyProtection="1">
      <alignment vertical="center" shrinkToFit="1"/>
      <protection hidden="1"/>
    </xf>
    <xf numFmtId="41" fontId="25" fillId="4" borderId="44" xfId="27" applyNumberFormat="1" applyFont="1" applyFill="1" applyBorder="1" applyAlignment="1" applyProtection="1">
      <alignment vertical="center" shrinkToFit="1"/>
      <protection hidden="1"/>
    </xf>
    <xf numFmtId="41" fontId="25" fillId="4" borderId="51" xfId="27" applyNumberFormat="1" applyFont="1" applyFill="1" applyBorder="1" applyAlignment="1" applyProtection="1">
      <alignment vertical="center" shrinkToFit="1"/>
      <protection hidden="1"/>
    </xf>
    <xf numFmtId="9" fontId="24" fillId="24" borderId="74" xfId="27" applyNumberFormat="1" applyFont="1" applyFill="1" applyBorder="1" applyAlignment="1" applyProtection="1">
      <alignment horizontal="center" vertical="center" shrinkToFit="1"/>
      <protection hidden="1"/>
    </xf>
    <xf numFmtId="9" fontId="45" fillId="8" borderId="0" xfId="27" applyNumberFormat="1" applyFont="1" applyFill="1" applyAlignment="1" applyProtection="1">
      <alignment vertical="center" shrinkToFit="1"/>
      <protection hidden="1"/>
    </xf>
    <xf numFmtId="0" fontId="78" fillId="8" borderId="0" xfId="30" applyFont="1" applyFill="1" applyAlignment="1" applyProtection="1">
      <alignment vertical="center"/>
      <protection locked="0" hidden="1"/>
    </xf>
    <xf numFmtId="3" fontId="45" fillId="8" borderId="0" xfId="27" applyNumberFormat="1" applyFont="1" applyFill="1" applyAlignment="1" applyProtection="1">
      <alignment vertical="center" shrinkToFit="1"/>
      <protection hidden="1"/>
    </xf>
    <xf numFmtId="0" fontId="24" fillId="8" borderId="74" xfId="27" applyFont="1" applyFill="1" applyBorder="1" applyAlignment="1" applyProtection="1">
      <alignment horizontal="center" vertical="center" shrinkToFit="1"/>
      <protection hidden="1"/>
    </xf>
    <xf numFmtId="0" fontId="26" fillId="22" borderId="41" xfId="0" applyFont="1" applyFill="1" applyBorder="1" applyAlignment="1" applyProtection="1">
      <alignment horizontal="center" vertical="center" shrinkToFit="1"/>
      <protection hidden="1"/>
    </xf>
    <xf numFmtId="0" fontId="26" fillId="22" borderId="49" xfId="0" applyFont="1" applyFill="1" applyBorder="1" applyAlignment="1" applyProtection="1">
      <alignment horizontal="center" vertical="center" shrinkToFit="1"/>
      <protection hidden="1"/>
    </xf>
    <xf numFmtId="0" fontId="26" fillId="22" borderId="43" xfId="0" applyFont="1" applyFill="1" applyBorder="1" applyAlignment="1" applyProtection="1">
      <alignment horizontal="center" vertical="center" shrinkToFit="1"/>
      <protection hidden="1"/>
    </xf>
    <xf numFmtId="0" fontId="26" fillId="22" borderId="44" xfId="0" applyFont="1" applyFill="1" applyBorder="1" applyAlignment="1" applyProtection="1">
      <alignment horizontal="center" vertical="center"/>
      <protection hidden="1"/>
    </xf>
    <xf numFmtId="0" fontId="26" fillId="22" borderId="89" xfId="0" applyFont="1" applyFill="1" applyBorder="1" applyAlignment="1" applyProtection="1">
      <alignment horizontal="center" vertical="center"/>
      <protection hidden="1"/>
    </xf>
    <xf numFmtId="0" fontId="26" fillId="22" borderId="91" xfId="0" applyFont="1" applyFill="1" applyBorder="1" applyAlignment="1" applyProtection="1">
      <alignment horizontal="center" vertical="center"/>
      <protection hidden="1"/>
    </xf>
    <xf numFmtId="0" fontId="26" fillId="22" borderId="49" xfId="0" applyFont="1" applyFill="1" applyBorder="1" applyAlignment="1" applyProtection="1">
      <alignment horizontal="center" vertical="center"/>
      <protection hidden="1"/>
    </xf>
    <xf numFmtId="0" fontId="26" fillId="22" borderId="50" xfId="0" applyFont="1" applyFill="1" applyBorder="1" applyAlignment="1" applyProtection="1">
      <alignment horizontal="center" vertical="center"/>
      <protection hidden="1"/>
    </xf>
    <xf numFmtId="0" fontId="26" fillId="25" borderId="41" xfId="0" applyFont="1" applyFill="1" applyBorder="1" applyAlignment="1" applyProtection="1">
      <alignment horizontal="center" vertical="center" shrinkToFit="1"/>
      <protection hidden="1"/>
    </xf>
    <xf numFmtId="0" fontId="26" fillId="23" borderId="25" xfId="0" applyFont="1" applyFill="1" applyBorder="1" applyAlignment="1" applyProtection="1">
      <alignment horizontal="center" vertical="center"/>
      <protection hidden="1"/>
    </xf>
    <xf numFmtId="0" fontId="26" fillId="23" borderId="41" xfId="0" applyFont="1" applyFill="1" applyBorder="1" applyAlignment="1" applyProtection="1">
      <alignment horizontal="center" vertical="center"/>
      <protection hidden="1"/>
    </xf>
    <xf numFmtId="0" fontId="105" fillId="11" borderId="79" xfId="0" applyFont="1" applyFill="1" applyBorder="1" applyAlignment="1" applyProtection="1">
      <alignment horizontal="left" vertical="center"/>
      <protection hidden="1"/>
    </xf>
    <xf numFmtId="0" fontId="105" fillId="11" borderId="75" xfId="0" applyFont="1" applyFill="1" applyBorder="1" applyAlignment="1" applyProtection="1">
      <alignment horizontal="left" vertical="center"/>
      <protection hidden="1"/>
    </xf>
    <xf numFmtId="0" fontId="105" fillId="11" borderId="78" xfId="0" applyFont="1" applyFill="1" applyBorder="1" applyAlignment="1" applyProtection="1">
      <alignment horizontal="left" vertical="center"/>
      <protection hidden="1"/>
    </xf>
    <xf numFmtId="0" fontId="65" fillId="8" borderId="0" xfId="0" applyFont="1" applyFill="1" applyAlignment="1" applyProtection="1">
      <alignment horizontal="center" vertical="center"/>
      <protection locked="0" hidden="1"/>
    </xf>
    <xf numFmtId="0" fontId="28" fillId="8" borderId="0" xfId="0" applyFont="1" applyFill="1" applyAlignment="1" applyProtection="1">
      <alignment horizontal="center" vertical="center"/>
      <protection locked="0" hidden="1"/>
    </xf>
    <xf numFmtId="0" fontId="28" fillId="8" borderId="0" xfId="0" applyFont="1" applyFill="1" applyAlignment="1" applyProtection="1">
      <alignment horizontal="center" vertical="center" shrinkToFit="1"/>
      <protection locked="0" hidden="1"/>
    </xf>
    <xf numFmtId="0" fontId="28" fillId="8" borderId="0" xfId="0" applyFont="1" applyFill="1" applyAlignment="1" applyProtection="1">
      <alignment horizontal="left" vertical="center"/>
      <protection locked="0" hidden="1"/>
    </xf>
    <xf numFmtId="0" fontId="65" fillId="8" borderId="0" xfId="0" applyFont="1" applyFill="1" applyAlignment="1" applyProtection="1">
      <alignment horizontal="center" vertical="center"/>
      <protection hidden="1"/>
    </xf>
    <xf numFmtId="0" fontId="28" fillId="5" borderId="0" xfId="0" applyFont="1" applyFill="1" applyAlignment="1" applyProtection="1">
      <alignment horizontal="center" vertical="center"/>
      <protection locked="0" hidden="1"/>
    </xf>
    <xf numFmtId="0" fontId="65" fillId="5" borderId="0" xfId="0" applyFont="1" applyFill="1" applyAlignment="1" applyProtection="1">
      <alignment horizontal="center" vertical="center"/>
      <protection hidden="1"/>
    </xf>
    <xf numFmtId="0" fontId="65" fillId="5" borderId="0" xfId="0" applyFont="1" applyFill="1" applyAlignment="1" applyProtection="1">
      <alignment horizontal="left" vertical="center"/>
      <protection hidden="1"/>
    </xf>
    <xf numFmtId="0" fontId="65" fillId="8" borderId="0" xfId="0" applyFont="1" applyFill="1" applyAlignment="1" applyProtection="1">
      <alignment horizontal="center" vertical="center" shrinkToFit="1"/>
      <protection hidden="1"/>
    </xf>
    <xf numFmtId="0" fontId="67" fillId="8" borderId="0" xfId="0" applyFont="1" applyFill="1" applyAlignment="1" applyProtection="1">
      <alignment horizontal="center" vertical="center" shrinkToFit="1"/>
      <protection hidden="1"/>
    </xf>
    <xf numFmtId="0" fontId="65" fillId="8" borderId="0" xfId="0" applyFont="1" applyFill="1" applyAlignment="1" applyProtection="1">
      <alignment horizontal="left" vertical="center"/>
      <protection hidden="1"/>
    </xf>
    <xf numFmtId="171" fontId="67" fillId="8" borderId="61" xfId="0" applyNumberFormat="1" applyFont="1" applyFill="1" applyBorder="1" applyAlignment="1" applyProtection="1">
      <alignment vertical="center"/>
      <protection hidden="1"/>
    </xf>
    <xf numFmtId="0" fontId="18" fillId="8" borderId="0" xfId="0" applyFont="1" applyFill="1" applyAlignment="1" applyProtection="1">
      <alignment horizontal="center" vertical="center"/>
      <protection hidden="1"/>
    </xf>
    <xf numFmtId="3" fontId="18" fillId="8" borderId="0" xfId="0" applyNumberFormat="1" applyFont="1" applyFill="1" applyAlignment="1" applyProtection="1">
      <alignment horizontal="center" vertical="center"/>
      <protection hidden="1"/>
    </xf>
    <xf numFmtId="3" fontId="67" fillId="8" borderId="0" xfId="0" applyNumberFormat="1" applyFont="1" applyFill="1" applyAlignment="1" applyProtection="1">
      <alignment horizontal="center" vertical="center"/>
      <protection hidden="1"/>
    </xf>
    <xf numFmtId="3" fontId="87" fillId="8" borderId="0" xfId="0" applyNumberFormat="1" applyFont="1" applyFill="1" applyAlignment="1" applyProtection="1">
      <alignment horizontal="center" vertical="center"/>
      <protection hidden="1"/>
    </xf>
    <xf numFmtId="0" fontId="67" fillId="8" borderId="0" xfId="0" applyFont="1" applyFill="1" applyAlignment="1" applyProtection="1">
      <alignment horizontal="center" vertical="center"/>
      <protection hidden="1"/>
    </xf>
    <xf numFmtId="0" fontId="67" fillId="8" borderId="0" xfId="0" applyFont="1" applyFill="1" applyAlignment="1" applyProtection="1">
      <alignment horizontal="left" vertical="center"/>
      <protection hidden="1"/>
    </xf>
    <xf numFmtId="171" fontId="67" fillId="8" borderId="0" xfId="0" applyNumberFormat="1" applyFont="1" applyFill="1" applyAlignment="1" applyProtection="1">
      <alignment horizontal="center" vertical="center"/>
      <protection hidden="1"/>
    </xf>
    <xf numFmtId="171" fontId="67" fillId="8" borderId="61" xfId="0" applyNumberFormat="1" applyFont="1" applyFill="1" applyBorder="1" applyAlignment="1" applyProtection="1">
      <alignment horizontal="left" vertical="center"/>
      <protection hidden="1"/>
    </xf>
    <xf numFmtId="0" fontId="28" fillId="5" borderId="35" xfId="0" applyFont="1" applyFill="1" applyBorder="1" applyAlignment="1" applyProtection="1">
      <alignment vertical="center"/>
      <protection hidden="1"/>
    </xf>
    <xf numFmtId="0" fontId="28" fillId="5" borderId="21" xfId="0" applyFont="1" applyFill="1" applyBorder="1" applyAlignment="1" applyProtection="1">
      <alignment vertical="center"/>
      <protection hidden="1"/>
    </xf>
    <xf numFmtId="0" fontId="28" fillId="5" borderId="34" xfId="0" applyFont="1" applyFill="1" applyBorder="1" applyAlignment="1" applyProtection="1">
      <alignment vertical="center"/>
      <protection hidden="1"/>
    </xf>
    <xf numFmtId="0" fontId="28" fillId="5" borderId="22" xfId="0" applyFont="1" applyFill="1" applyBorder="1" applyAlignment="1" applyProtection="1">
      <alignment vertical="center"/>
      <protection hidden="1"/>
    </xf>
    <xf numFmtId="3" fontId="65" fillId="0" borderId="44" xfId="0" applyNumberFormat="1" applyFont="1" applyBorder="1" applyAlignment="1" applyProtection="1">
      <alignment horizontal="center" vertical="center"/>
      <protection hidden="1"/>
    </xf>
    <xf numFmtId="3" fontId="28" fillId="0" borderId="56" xfId="0" applyNumberFormat="1" applyFont="1" applyBorder="1" applyAlignment="1" applyProtection="1">
      <alignment horizontal="center" vertical="center"/>
      <protection hidden="1"/>
    </xf>
    <xf numFmtId="3" fontId="28" fillId="11" borderId="44" xfId="0" applyNumberFormat="1" applyFont="1" applyFill="1" applyBorder="1" applyAlignment="1" applyProtection="1">
      <alignment horizontal="center" vertical="center"/>
      <protection hidden="1"/>
    </xf>
    <xf numFmtId="0" fontId="26" fillId="4" borderId="63" xfId="0" applyFont="1" applyFill="1" applyBorder="1" applyAlignment="1" applyProtection="1">
      <alignment horizontal="center" vertical="center" shrinkToFit="1"/>
      <protection hidden="1"/>
    </xf>
    <xf numFmtId="0" fontId="26" fillId="4" borderId="43" xfId="0" applyFont="1" applyFill="1" applyBorder="1" applyAlignment="1" applyProtection="1">
      <alignment horizontal="center" vertical="center" shrinkToFit="1"/>
      <protection hidden="1"/>
    </xf>
    <xf numFmtId="0" fontId="26" fillId="4" borderId="45" xfId="0" applyFont="1" applyFill="1" applyBorder="1" applyAlignment="1" applyProtection="1">
      <alignment horizontal="center" vertical="center" shrinkToFit="1"/>
      <protection hidden="1"/>
    </xf>
    <xf numFmtId="0" fontId="26" fillId="4" borderId="44" xfId="0" applyFont="1" applyFill="1" applyBorder="1" applyAlignment="1" applyProtection="1">
      <alignment horizontal="center" vertical="center" shrinkToFit="1"/>
      <protection hidden="1"/>
    </xf>
    <xf numFmtId="0" fontId="26" fillId="4" borderId="46" xfId="0" applyFont="1" applyFill="1" applyBorder="1" applyAlignment="1" applyProtection="1">
      <alignment horizontal="center" vertical="center" shrinkToFit="1"/>
      <protection hidden="1"/>
    </xf>
    <xf numFmtId="171" fontId="15" fillId="0" borderId="73" xfId="0" applyNumberFormat="1" applyFont="1" applyBorder="1" applyAlignment="1" applyProtection="1">
      <alignment horizontal="center" vertical="center"/>
      <protection hidden="1"/>
    </xf>
    <xf numFmtId="0" fontId="24" fillId="5" borderId="47" xfId="41" applyFont="1" applyFill="1" applyBorder="1" applyProtection="1">
      <alignment horizontal="center" vertical="center" shrinkToFit="1"/>
      <protection hidden="1"/>
    </xf>
    <xf numFmtId="1" fontId="26" fillId="23" borderId="43" xfId="0" applyNumberFormat="1" applyFont="1" applyFill="1" applyBorder="1" applyAlignment="1" applyProtection="1">
      <alignment horizontal="center" vertical="center"/>
      <protection hidden="1"/>
    </xf>
    <xf numFmtId="3" fontId="70" fillId="22" borderId="44" xfId="0" applyNumberFormat="1" applyFont="1" applyFill="1" applyBorder="1" applyAlignment="1" applyProtection="1">
      <alignment horizontal="center" vertical="center"/>
      <protection hidden="1"/>
    </xf>
    <xf numFmtId="3" fontId="106" fillId="5" borderId="44" xfId="0" applyNumberFormat="1" applyFont="1" applyFill="1" applyBorder="1" applyAlignment="1" applyProtection="1">
      <alignment horizontal="center" vertical="center"/>
      <protection hidden="1"/>
    </xf>
    <xf numFmtId="174" fontId="106" fillId="5" borderId="44" xfId="8" applyNumberFormat="1" applyFont="1" applyFill="1" applyBorder="1" applyAlignment="1" applyProtection="1">
      <alignment horizontal="center" vertical="center"/>
      <protection hidden="1"/>
    </xf>
    <xf numFmtId="1" fontId="106" fillId="5" borderId="69" xfId="0" applyNumberFormat="1" applyFont="1" applyFill="1" applyBorder="1" applyAlignment="1" applyProtection="1">
      <alignment horizontal="center" vertical="center"/>
      <protection hidden="1"/>
    </xf>
    <xf numFmtId="3" fontId="106" fillId="5" borderId="69" xfId="0" applyNumberFormat="1" applyFont="1" applyFill="1" applyBorder="1" applyAlignment="1" applyProtection="1">
      <alignment horizontal="center" vertical="center"/>
      <protection hidden="1"/>
    </xf>
    <xf numFmtId="174" fontId="106" fillId="5" borderId="69" xfId="8" applyNumberFormat="1" applyFont="1" applyFill="1" applyBorder="1" applyAlignment="1" applyProtection="1">
      <alignment horizontal="center" vertical="center"/>
      <protection hidden="1"/>
    </xf>
    <xf numFmtId="1" fontId="24" fillId="5" borderId="74" xfId="0" applyNumberFormat="1" applyFont="1" applyFill="1" applyBorder="1" applyAlignment="1" applyProtection="1">
      <alignment horizontal="center" vertical="center"/>
      <protection hidden="1"/>
    </xf>
    <xf numFmtId="3" fontId="24" fillId="5" borderId="74" xfId="0" applyNumberFormat="1" applyFont="1" applyFill="1" applyBorder="1" applyAlignment="1" applyProtection="1">
      <alignment horizontal="center" vertical="center"/>
      <protection hidden="1"/>
    </xf>
    <xf numFmtId="174" fontId="24" fillId="5" borderId="74" xfId="8" applyNumberFormat="1" applyFont="1" applyFill="1" applyBorder="1" applyAlignment="1" applyProtection="1">
      <alignment horizontal="center" vertical="center"/>
      <protection hidden="1"/>
    </xf>
    <xf numFmtId="1" fontId="24" fillId="5" borderId="70" xfId="0" applyNumberFormat="1" applyFont="1" applyFill="1" applyBorder="1" applyAlignment="1" applyProtection="1">
      <alignment horizontal="center" vertical="center"/>
      <protection hidden="1"/>
    </xf>
    <xf numFmtId="3" fontId="24" fillId="5" borderId="70" xfId="0" applyNumberFormat="1" applyFont="1" applyFill="1" applyBorder="1" applyAlignment="1" applyProtection="1">
      <alignment horizontal="center" vertical="center"/>
      <protection hidden="1"/>
    </xf>
    <xf numFmtId="174" fontId="24" fillId="5" borderId="70" xfId="8" applyNumberFormat="1" applyFont="1" applyFill="1" applyBorder="1" applyAlignment="1" applyProtection="1">
      <alignment horizontal="center" vertical="center"/>
      <protection hidden="1"/>
    </xf>
    <xf numFmtId="174" fontId="24" fillId="5" borderId="70" xfId="0" applyNumberFormat="1" applyFont="1" applyFill="1" applyBorder="1" applyAlignment="1" applyProtection="1">
      <alignment horizontal="center" vertical="center"/>
      <protection hidden="1"/>
    </xf>
    <xf numFmtId="0" fontId="24" fillId="11" borderId="44" xfId="0" applyFont="1" applyFill="1" applyBorder="1" applyAlignment="1" applyProtection="1">
      <alignment horizontal="center" vertical="center"/>
      <protection hidden="1"/>
    </xf>
    <xf numFmtId="166" fontId="105" fillId="11" borderId="44" xfId="0" applyNumberFormat="1" applyFont="1" applyFill="1" applyBorder="1" applyAlignment="1" applyProtection="1">
      <alignment horizontal="center" vertical="center"/>
      <protection hidden="1"/>
    </xf>
    <xf numFmtId="166" fontId="105" fillId="11" borderId="44" xfId="0" applyNumberFormat="1" applyFont="1" applyFill="1" applyBorder="1" applyAlignment="1" applyProtection="1">
      <alignment horizontal="right" vertical="center"/>
      <protection hidden="1"/>
    </xf>
    <xf numFmtId="1" fontId="106" fillId="8" borderId="44" xfId="0" applyNumberFormat="1" applyFont="1" applyFill="1" applyBorder="1" applyAlignment="1" applyProtection="1">
      <alignment horizontal="center" vertical="center"/>
      <protection hidden="1"/>
    </xf>
    <xf numFmtId="166" fontId="106" fillId="5" borderId="44" xfId="0" applyNumberFormat="1" applyFont="1" applyFill="1" applyBorder="1" applyAlignment="1" applyProtection="1">
      <alignment horizontal="center" vertical="center"/>
      <protection hidden="1"/>
    </xf>
    <xf numFmtId="166" fontId="106" fillId="5" borderId="69" xfId="0" applyNumberFormat="1" applyFont="1" applyFill="1" applyBorder="1" applyAlignment="1" applyProtection="1">
      <alignment horizontal="center" vertical="center"/>
      <protection hidden="1"/>
    </xf>
    <xf numFmtId="3" fontId="26" fillId="22" borderId="44" xfId="0" applyNumberFormat="1" applyFont="1" applyFill="1" applyBorder="1" applyAlignment="1" applyProtection="1">
      <alignment horizontal="center" vertical="center"/>
      <protection hidden="1"/>
    </xf>
    <xf numFmtId="0" fontId="25" fillId="10" borderId="44" xfId="0" applyFont="1" applyFill="1" applyBorder="1" applyAlignment="1" applyProtection="1">
      <alignment horizontal="center" vertical="center"/>
      <protection hidden="1"/>
    </xf>
    <xf numFmtId="0" fontId="12" fillId="22" borderId="129" xfId="0" applyFont="1" applyFill="1" applyBorder="1" applyAlignment="1" applyProtection="1">
      <alignment horizontal="center" vertical="center" shrinkToFit="1"/>
      <protection hidden="1"/>
    </xf>
    <xf numFmtId="0" fontId="12" fillId="22" borderId="44" xfId="0" applyFont="1" applyFill="1" applyBorder="1" applyAlignment="1" applyProtection="1">
      <alignment horizontal="center" vertical="center" shrinkToFit="1"/>
      <protection hidden="1"/>
    </xf>
    <xf numFmtId="0" fontId="12" fillId="22" borderId="130" xfId="0" applyFont="1" applyFill="1" applyBorder="1" applyAlignment="1" applyProtection="1">
      <alignment horizontal="center" vertical="center" shrinkToFit="1"/>
      <protection hidden="1"/>
    </xf>
    <xf numFmtId="174" fontId="27" fillId="8" borderId="44" xfId="0" applyNumberFormat="1" applyFont="1" applyFill="1" applyBorder="1" applyAlignment="1" applyProtection="1">
      <alignment horizontal="center" vertical="center" shrinkToFit="1"/>
      <protection hidden="1"/>
    </xf>
    <xf numFmtId="0" fontId="26" fillId="23" borderId="129" xfId="0" applyFont="1" applyFill="1" applyBorder="1" applyAlignment="1" applyProtection="1">
      <alignment vertical="center" shrinkToFit="1"/>
      <protection hidden="1"/>
    </xf>
    <xf numFmtId="0" fontId="25" fillId="23" borderId="129" xfId="0" applyFont="1" applyFill="1" applyBorder="1" applyAlignment="1" applyProtection="1">
      <alignment vertical="center" shrinkToFit="1"/>
      <protection hidden="1"/>
    </xf>
    <xf numFmtId="164" fontId="27" fillId="0" borderId="69" xfId="0" applyNumberFormat="1" applyFont="1" applyBorder="1" applyAlignment="1" applyProtection="1">
      <alignment horizontal="center" vertical="center" shrinkToFit="1"/>
      <protection hidden="1"/>
    </xf>
    <xf numFmtId="164" fontId="27" fillId="0" borderId="135" xfId="0" applyNumberFormat="1" applyFont="1" applyBorder="1" applyAlignment="1" applyProtection="1">
      <alignment horizontal="center" vertical="center" shrinkToFit="1"/>
      <protection hidden="1"/>
    </xf>
    <xf numFmtId="164" fontId="27" fillId="11" borderId="74" xfId="0" applyNumberFormat="1" applyFont="1" applyFill="1" applyBorder="1" applyAlignment="1" applyProtection="1">
      <alignment horizontal="center" vertical="center" shrinkToFit="1"/>
      <protection hidden="1"/>
    </xf>
    <xf numFmtId="164" fontId="27" fillId="11" borderId="136" xfId="0" applyNumberFormat="1" applyFont="1" applyFill="1" applyBorder="1" applyAlignment="1" applyProtection="1">
      <alignment horizontal="center" vertical="center" shrinkToFit="1"/>
      <protection hidden="1"/>
    </xf>
    <xf numFmtId="164" fontId="27" fillId="0" borderId="74" xfId="0" applyNumberFormat="1" applyFont="1" applyBorder="1" applyAlignment="1" applyProtection="1">
      <alignment horizontal="center" vertical="center" shrinkToFit="1"/>
      <protection hidden="1"/>
    </xf>
    <xf numFmtId="164" fontId="27" fillId="0" borderId="136" xfId="0" applyNumberFormat="1" applyFont="1" applyBorder="1" applyAlignment="1" applyProtection="1">
      <alignment horizontal="center" vertical="center" shrinkToFit="1"/>
      <protection hidden="1"/>
    </xf>
    <xf numFmtId="164" fontId="27" fillId="5" borderId="74" xfId="0" applyNumberFormat="1" applyFont="1" applyFill="1" applyBorder="1" applyAlignment="1" applyProtection="1">
      <alignment horizontal="center" vertical="center" shrinkToFit="1"/>
      <protection hidden="1"/>
    </xf>
    <xf numFmtId="164" fontId="27" fillId="5" borderId="136" xfId="0" applyNumberFormat="1" applyFont="1" applyFill="1" applyBorder="1" applyAlignment="1" applyProtection="1">
      <alignment horizontal="center" vertical="center" shrinkToFit="1"/>
      <protection hidden="1"/>
    </xf>
    <xf numFmtId="9" fontId="12" fillId="17" borderId="130" xfId="0" applyNumberFormat="1" applyFont="1" applyFill="1" applyBorder="1" applyAlignment="1" applyProtection="1">
      <alignment horizontal="center" vertical="center" shrinkToFit="1"/>
      <protection locked="0" hidden="1"/>
    </xf>
    <xf numFmtId="0" fontId="107" fillId="22" borderId="44" xfId="21" applyFont="1" applyFill="1" applyBorder="1" applyAlignment="1" applyProtection="1">
      <alignment horizontal="center" vertical="center" shrinkToFit="1"/>
      <protection hidden="1"/>
    </xf>
    <xf numFmtId="3" fontId="27" fillId="7" borderId="0" xfId="40" applyNumberFormat="1" applyFont="1" applyFill="1" applyBorder="1" applyAlignment="1" applyProtection="1">
      <alignment horizontal="left" vertical="center" shrinkToFit="1"/>
      <protection hidden="1"/>
    </xf>
    <xf numFmtId="166" fontId="27" fillId="5" borderId="0" xfId="40" applyNumberFormat="1" applyFont="1" applyFill="1" applyBorder="1" applyAlignment="1" applyProtection="1">
      <alignment horizontal="center" vertical="center" shrinkToFit="1"/>
      <protection hidden="1"/>
    </xf>
    <xf numFmtId="166" fontId="24" fillId="5" borderId="57" xfId="41" applyNumberFormat="1" applyFont="1" applyFill="1" applyBorder="1" applyAlignment="1" applyProtection="1">
      <alignment horizontal="right" vertical="center" shrinkToFit="1"/>
      <protection hidden="1"/>
    </xf>
    <xf numFmtId="166" fontId="24" fillId="5" borderId="56" xfId="41" applyNumberFormat="1" applyFont="1" applyFill="1" applyBorder="1" applyAlignment="1" applyProtection="1">
      <alignment horizontal="right" vertical="center" shrinkToFit="1"/>
      <protection hidden="1"/>
    </xf>
    <xf numFmtId="166" fontId="24" fillId="5" borderId="0" xfId="41" applyNumberFormat="1" applyFont="1" applyFill="1" applyAlignment="1" applyProtection="1">
      <alignment horizontal="right" vertical="center" shrinkToFit="1"/>
      <protection hidden="1"/>
    </xf>
    <xf numFmtId="0" fontId="24" fillId="5" borderId="0" xfId="41" applyFont="1" applyFill="1" applyAlignment="1" applyProtection="1">
      <alignment horizontal="left" vertical="center" shrinkToFit="1"/>
      <protection hidden="1"/>
    </xf>
    <xf numFmtId="0" fontId="24" fillId="5" borderId="0" xfId="41" applyFont="1" applyFill="1" applyProtection="1">
      <alignment horizontal="center" vertical="center" shrinkToFit="1"/>
      <protection hidden="1"/>
    </xf>
    <xf numFmtId="166" fontId="24" fillId="0" borderId="0" xfId="41" applyNumberFormat="1" applyFont="1" applyProtection="1">
      <alignment horizontal="center" vertical="center" shrinkToFit="1"/>
      <protection hidden="1"/>
    </xf>
    <xf numFmtId="9" fontId="15" fillId="8" borderId="44" xfId="40" applyFont="1" applyFill="1" applyBorder="1" applyAlignment="1" applyProtection="1">
      <alignment horizontal="center" vertical="center" shrinkToFit="1"/>
      <protection hidden="1"/>
    </xf>
    <xf numFmtId="9" fontId="15" fillId="24" borderId="44" xfId="40" applyFont="1" applyFill="1" applyBorder="1" applyAlignment="1" applyProtection="1">
      <alignment horizontal="center" vertical="center" shrinkToFit="1"/>
      <protection hidden="1"/>
    </xf>
    <xf numFmtId="174" fontId="15" fillId="8" borderId="44" xfId="40" applyNumberFormat="1" applyFont="1" applyFill="1" applyBorder="1" applyAlignment="1" applyProtection="1">
      <alignment horizontal="center" vertical="center" shrinkToFit="1"/>
      <protection hidden="1"/>
    </xf>
    <xf numFmtId="174" fontId="15" fillId="24" borderId="44" xfId="40" applyNumberFormat="1" applyFont="1" applyFill="1" applyBorder="1" applyAlignment="1" applyProtection="1">
      <alignment horizontal="center" vertical="center" shrinkToFit="1"/>
      <protection hidden="1"/>
    </xf>
    <xf numFmtId="0" fontId="15" fillId="0" borderId="1" xfId="41" applyFont="1" applyBorder="1" applyProtection="1">
      <alignment horizontal="center" vertical="center" shrinkToFit="1"/>
      <protection locked="0" hidden="1"/>
    </xf>
    <xf numFmtId="0" fontId="26" fillId="22" borderId="1" xfId="41" applyFont="1" applyFill="1" applyBorder="1" applyProtection="1">
      <alignment horizontal="center" vertical="center" shrinkToFit="1"/>
      <protection hidden="1"/>
    </xf>
    <xf numFmtId="174" fontId="15" fillId="5" borderId="44" xfId="41" applyNumberFormat="1" applyFont="1" applyFill="1" applyBorder="1" applyProtection="1">
      <alignment horizontal="center" vertical="center" shrinkToFit="1"/>
      <protection locked="0" hidden="1"/>
    </xf>
    <xf numFmtId="10" fontId="15" fillId="5" borderId="44" xfId="39" applyNumberFormat="1" applyFont="1" applyFill="1" applyBorder="1" applyAlignment="1" applyProtection="1">
      <alignment vertical="center" shrinkToFit="1"/>
      <protection locked="0" hidden="1"/>
    </xf>
    <xf numFmtId="174" fontId="15" fillId="11" borderId="44" xfId="8" applyNumberFormat="1" applyFont="1" applyFill="1" applyBorder="1" applyAlignment="1" applyProtection="1">
      <alignment horizontal="center" vertical="center" shrinkToFit="1"/>
      <protection locked="0" hidden="1"/>
    </xf>
    <xf numFmtId="10" fontId="15" fillId="11" borderId="44" xfId="39" applyNumberFormat="1" applyFont="1" applyFill="1" applyBorder="1" applyAlignment="1" applyProtection="1">
      <alignment vertical="center" shrinkToFit="1"/>
      <protection locked="0" hidden="1"/>
    </xf>
    <xf numFmtId="174" fontId="15" fillId="7" borderId="44" xfId="41" applyNumberFormat="1" applyFont="1" applyFill="1" applyBorder="1" applyProtection="1">
      <alignment horizontal="center" vertical="center" shrinkToFit="1"/>
      <protection locked="0" hidden="1"/>
    </xf>
    <xf numFmtId="0" fontId="15" fillId="7" borderId="1" xfId="41" applyFont="1" applyFill="1" applyBorder="1" applyProtection="1">
      <alignment horizontal="center" vertical="center" shrinkToFit="1"/>
      <protection locked="0" hidden="1"/>
    </xf>
    <xf numFmtId="0" fontId="15" fillId="11" borderId="1" xfId="41" applyFont="1" applyFill="1" applyBorder="1" applyProtection="1">
      <alignment horizontal="center" vertical="center" shrinkToFit="1"/>
      <protection locked="0" hidden="1"/>
    </xf>
    <xf numFmtId="0" fontId="10" fillId="8" borderId="0" xfId="41" applyFont="1" applyFill="1" applyProtection="1">
      <alignment horizontal="center" vertical="center" shrinkToFit="1"/>
      <protection hidden="1"/>
    </xf>
    <xf numFmtId="0" fontId="15" fillId="8" borderId="0" xfId="41" applyFont="1" applyFill="1" applyProtection="1">
      <alignment horizontal="center" vertical="center" shrinkToFit="1"/>
      <protection hidden="1"/>
    </xf>
    <xf numFmtId="0" fontId="10" fillId="8" borderId="0" xfId="41" applyFont="1" applyFill="1" applyAlignment="1" applyProtection="1">
      <alignment vertical="center" shrinkToFit="1"/>
      <protection hidden="1"/>
    </xf>
    <xf numFmtId="0" fontId="28" fillId="8" borderId="0" xfId="0" applyFont="1" applyFill="1" applyAlignment="1" applyProtection="1">
      <alignment vertical="center" shrinkToFit="1"/>
      <protection hidden="1"/>
    </xf>
    <xf numFmtId="0" fontId="28" fillId="5" borderId="0" xfId="0" applyFont="1" applyFill="1" applyAlignment="1" applyProtection="1">
      <alignment vertical="center" shrinkToFit="1"/>
      <protection hidden="1"/>
    </xf>
    <xf numFmtId="0" fontId="60" fillId="5" borderId="0" xfId="0" applyFont="1" applyFill="1" applyAlignment="1" applyProtection="1">
      <alignment vertical="center" shrinkToFit="1"/>
      <protection hidden="1"/>
    </xf>
    <xf numFmtId="0" fontId="60" fillId="5" borderId="0" xfId="0" applyFont="1" applyFill="1" applyAlignment="1" applyProtection="1">
      <alignment horizontal="center" vertical="center" shrinkToFit="1"/>
      <protection hidden="1"/>
    </xf>
    <xf numFmtId="0" fontId="28" fillId="5" borderId="0" xfId="0" applyFont="1" applyFill="1" applyAlignment="1" applyProtection="1">
      <alignment horizontal="center" vertical="center" shrinkToFit="1"/>
      <protection hidden="1"/>
    </xf>
    <xf numFmtId="0" fontId="28" fillId="0" borderId="44" xfId="0" applyFont="1" applyBorder="1" applyAlignment="1" applyProtection="1">
      <alignment vertical="center" shrinkToFit="1"/>
      <protection hidden="1"/>
    </xf>
    <xf numFmtId="164" fontId="27" fillId="0" borderId="83" xfId="0" applyNumberFormat="1" applyFont="1" applyBorder="1" applyAlignment="1" applyProtection="1">
      <alignment horizontal="center" vertical="center" shrinkToFit="1"/>
      <protection hidden="1"/>
    </xf>
    <xf numFmtId="164" fontId="27" fillId="11" borderId="84" xfId="0" applyNumberFormat="1" applyFont="1" applyFill="1" applyBorder="1" applyAlignment="1" applyProtection="1">
      <alignment horizontal="center" vertical="center" shrinkToFit="1"/>
      <protection hidden="1"/>
    </xf>
    <xf numFmtId="164" fontId="27" fillId="0" borderId="84" xfId="0" applyNumberFormat="1" applyFont="1" applyBorder="1" applyAlignment="1" applyProtection="1">
      <alignment horizontal="center" vertical="center" shrinkToFit="1"/>
      <protection hidden="1"/>
    </xf>
    <xf numFmtId="164" fontId="27" fillId="5" borderId="84" xfId="0" applyNumberFormat="1" applyFont="1" applyFill="1" applyBorder="1" applyAlignment="1" applyProtection="1">
      <alignment horizontal="center" vertical="center" shrinkToFit="1"/>
      <protection hidden="1"/>
    </xf>
    <xf numFmtId="0" fontId="53" fillId="22" borderId="44" xfId="28" applyFont="1" applyFill="1" applyBorder="1" applyProtection="1">
      <alignment horizontal="center" vertical="center" shrinkToFit="1"/>
      <protection hidden="1"/>
    </xf>
    <xf numFmtId="0" fontId="45" fillId="0" borderId="44" xfId="28" applyFont="1" applyBorder="1" applyProtection="1">
      <alignment horizontal="center" vertical="center" shrinkToFit="1"/>
      <protection locked="0" hidden="1"/>
    </xf>
    <xf numFmtId="0" fontId="45" fillId="11" borderId="44" xfId="28" applyFont="1" applyFill="1" applyBorder="1" applyProtection="1">
      <alignment horizontal="center" vertical="center" shrinkToFit="1"/>
      <protection hidden="1"/>
    </xf>
    <xf numFmtId="3" fontId="45" fillId="0" borderId="44" xfId="28" applyNumberFormat="1" applyFont="1" applyBorder="1" applyProtection="1">
      <alignment horizontal="center" vertical="center" shrinkToFit="1"/>
      <protection locked="0" hidden="1"/>
    </xf>
    <xf numFmtId="171" fontId="102" fillId="5" borderId="154" xfId="30" applyNumberFormat="1" applyFont="1" applyFill="1" applyBorder="1" applyAlignment="1" applyProtection="1">
      <alignment horizontal="center" vertical="center" shrinkToFit="1"/>
      <protection hidden="1"/>
    </xf>
    <xf numFmtId="0" fontId="28" fillId="0" borderId="44" xfId="30" applyFont="1" applyBorder="1" applyAlignment="1" applyProtection="1">
      <alignment horizontal="center" vertical="center" shrinkToFit="1"/>
      <protection locked="0" hidden="1"/>
    </xf>
    <xf numFmtId="9" fontId="28" fillId="0" borderId="44" xfId="30" applyNumberFormat="1" applyFont="1" applyBorder="1" applyAlignment="1" applyProtection="1">
      <alignment horizontal="center" vertical="center" shrinkToFit="1"/>
      <protection locked="0" hidden="1"/>
    </xf>
    <xf numFmtId="0" fontId="61" fillId="0" borderId="0" xfId="30" applyFont="1" applyAlignment="1" applyProtection="1">
      <alignment vertical="center" shrinkToFit="1"/>
      <protection hidden="1"/>
    </xf>
    <xf numFmtId="0" fontId="63" fillId="0" borderId="0" xfId="30" applyFont="1" applyAlignment="1" applyProtection="1">
      <alignment vertical="center" shrinkToFit="1"/>
      <protection hidden="1"/>
    </xf>
    <xf numFmtId="0" fontId="26" fillId="22" borderId="44" xfId="0" applyFont="1" applyFill="1" applyBorder="1" applyAlignment="1" applyProtection="1">
      <alignment horizontal="center" vertical="center" shrinkToFit="1"/>
      <protection hidden="1"/>
    </xf>
    <xf numFmtId="0" fontId="26" fillId="22" borderId="47" xfId="39" applyFont="1" applyFill="1" applyBorder="1" applyAlignment="1" applyProtection="1">
      <alignment vertical="center" shrinkToFit="1"/>
      <protection hidden="1"/>
    </xf>
    <xf numFmtId="174" fontId="73" fillId="8" borderId="0" xfId="30" applyNumberFormat="1" applyFont="1" applyFill="1" applyAlignment="1" applyProtection="1">
      <alignment horizontal="right" vertical="center"/>
      <protection hidden="1"/>
    </xf>
    <xf numFmtId="0" fontId="28" fillId="5" borderId="0" xfId="0" applyFont="1" applyFill="1" applyAlignment="1" applyProtection="1">
      <alignment horizontal="center" vertical="center"/>
      <protection hidden="1"/>
    </xf>
    <xf numFmtId="0" fontId="28" fillId="0" borderId="44" xfId="0" applyFont="1" applyBorder="1" applyAlignment="1" applyProtection="1">
      <alignment vertical="center"/>
      <protection hidden="1"/>
    </xf>
    <xf numFmtId="0" fontId="28" fillId="0" borderId="44" xfId="0" applyFont="1" applyBorder="1" applyAlignment="1" applyProtection="1">
      <alignment horizontal="center" vertical="center"/>
      <protection locked="0" hidden="1"/>
    </xf>
    <xf numFmtId="9" fontId="15" fillId="0" borderId="44" xfId="30" applyNumberFormat="1" applyFont="1" applyBorder="1" applyAlignment="1" applyProtection="1">
      <alignment horizontal="center" vertical="center" shrinkToFit="1"/>
      <protection locked="0" hidden="1"/>
    </xf>
    <xf numFmtId="171" fontId="15" fillId="5" borderId="69" xfId="0" applyNumberFormat="1" applyFont="1" applyFill="1" applyBorder="1" applyAlignment="1" applyProtection="1">
      <alignment horizontal="center" vertical="center" shrinkToFit="1"/>
      <protection hidden="1"/>
    </xf>
    <xf numFmtId="171" fontId="15" fillId="5" borderId="72" xfId="0" applyNumberFormat="1" applyFont="1" applyFill="1" applyBorder="1" applyAlignment="1" applyProtection="1">
      <alignment horizontal="center" vertical="center" shrinkToFit="1"/>
      <protection hidden="1"/>
    </xf>
    <xf numFmtId="171" fontId="15" fillId="5" borderId="74" xfId="0" applyNumberFormat="1" applyFont="1" applyFill="1" applyBorder="1" applyAlignment="1" applyProtection="1">
      <alignment horizontal="center" vertical="center" shrinkToFit="1"/>
      <protection hidden="1"/>
    </xf>
    <xf numFmtId="171" fontId="15" fillId="5" borderId="75" xfId="0" applyNumberFormat="1" applyFont="1" applyFill="1" applyBorder="1" applyAlignment="1" applyProtection="1">
      <alignment horizontal="center" vertical="center" shrinkToFit="1"/>
      <protection hidden="1"/>
    </xf>
    <xf numFmtId="171" fontId="15" fillId="11" borderId="74" xfId="0" applyNumberFormat="1" applyFont="1" applyFill="1" applyBorder="1" applyAlignment="1" applyProtection="1">
      <alignment horizontal="center" vertical="center" shrinkToFit="1"/>
      <protection hidden="1"/>
    </xf>
    <xf numFmtId="171" fontId="15" fillId="11" borderId="75" xfId="0" applyNumberFormat="1" applyFont="1" applyFill="1" applyBorder="1" applyAlignment="1" applyProtection="1">
      <alignment horizontal="center" vertical="center" shrinkToFit="1"/>
      <protection hidden="1"/>
    </xf>
    <xf numFmtId="171" fontId="15" fillId="5" borderId="70" xfId="0" applyNumberFormat="1" applyFont="1" applyFill="1" applyBorder="1" applyAlignment="1" applyProtection="1">
      <alignment horizontal="center" vertical="center" shrinkToFit="1"/>
      <protection hidden="1"/>
    </xf>
    <xf numFmtId="171" fontId="26" fillId="22" borderId="44" xfId="0" applyNumberFormat="1" applyFont="1" applyFill="1" applyBorder="1" applyAlignment="1" applyProtection="1">
      <alignment horizontal="center" vertical="center" shrinkToFit="1"/>
      <protection hidden="1"/>
    </xf>
    <xf numFmtId="171" fontId="26" fillId="22" borderId="51" xfId="0" applyNumberFormat="1" applyFont="1" applyFill="1" applyBorder="1" applyAlignment="1" applyProtection="1">
      <alignment horizontal="center" vertical="center" shrinkToFit="1"/>
      <protection hidden="1"/>
    </xf>
    <xf numFmtId="171" fontId="26" fillId="4" borderId="46" xfId="0" applyNumberFormat="1" applyFont="1" applyFill="1" applyBorder="1" applyAlignment="1" applyProtection="1">
      <alignment horizontal="center" vertical="center" shrinkToFit="1"/>
      <protection hidden="1"/>
    </xf>
    <xf numFmtId="171" fontId="26" fillId="4" borderId="60" xfId="0" applyNumberFormat="1" applyFont="1" applyFill="1" applyBorder="1" applyAlignment="1" applyProtection="1">
      <alignment horizontal="center" vertical="center" shrinkToFit="1"/>
      <protection hidden="1"/>
    </xf>
    <xf numFmtId="0" fontId="15" fillId="5" borderId="50" xfId="0" applyFont="1" applyFill="1" applyBorder="1" applyAlignment="1" applyProtection="1">
      <alignment horizontal="center" vertical="center" shrinkToFit="1"/>
      <protection hidden="1"/>
    </xf>
    <xf numFmtId="0" fontId="15" fillId="5" borderId="51" xfId="0" applyFont="1" applyFill="1" applyBorder="1" applyAlignment="1" applyProtection="1">
      <alignment horizontal="center" vertical="center" shrinkToFit="1"/>
      <protection hidden="1"/>
    </xf>
    <xf numFmtId="171" fontId="15" fillId="5" borderId="60" xfId="0" applyNumberFormat="1" applyFont="1" applyFill="1" applyBorder="1" applyAlignment="1" applyProtection="1">
      <alignment horizontal="center" vertical="center" shrinkToFit="1"/>
      <protection hidden="1"/>
    </xf>
    <xf numFmtId="0" fontId="26" fillId="22" borderId="47" xfId="0" applyFont="1" applyFill="1" applyBorder="1" applyAlignment="1" applyProtection="1">
      <alignment horizontal="center" vertical="center"/>
      <protection hidden="1"/>
    </xf>
    <xf numFmtId="174" fontId="86" fillId="5" borderId="48" xfId="0" applyNumberFormat="1" applyFont="1" applyFill="1" applyBorder="1" applyAlignment="1" applyProtection="1">
      <alignment horizontal="center" vertical="center"/>
      <protection hidden="1"/>
    </xf>
    <xf numFmtId="164" fontId="27" fillId="11" borderId="70" xfId="0" applyNumberFormat="1" applyFont="1" applyFill="1" applyBorder="1" applyAlignment="1" applyProtection="1">
      <alignment horizontal="center" vertical="center" shrinkToFit="1"/>
      <protection hidden="1"/>
    </xf>
    <xf numFmtId="164" fontId="27" fillId="11" borderId="85" xfId="0" applyNumberFormat="1" applyFont="1" applyFill="1" applyBorder="1" applyAlignment="1" applyProtection="1">
      <alignment horizontal="center" vertical="center" shrinkToFit="1"/>
      <protection hidden="1"/>
    </xf>
    <xf numFmtId="164" fontId="27" fillId="11" borderId="137" xfId="0" applyNumberFormat="1" applyFont="1" applyFill="1" applyBorder="1" applyAlignment="1" applyProtection="1">
      <alignment horizontal="center" vertical="center" shrinkToFit="1"/>
      <protection hidden="1"/>
    </xf>
    <xf numFmtId="166" fontId="24" fillId="5" borderId="82" xfId="27" applyNumberFormat="1" applyFont="1" applyFill="1" applyBorder="1" applyAlignment="1" applyProtection="1">
      <alignment horizontal="center" vertical="center" shrinkToFit="1"/>
      <protection hidden="1"/>
    </xf>
    <xf numFmtId="166" fontId="24" fillId="5" borderId="75" xfId="27" applyNumberFormat="1" applyFont="1" applyFill="1" applyBorder="1" applyAlignment="1" applyProtection="1">
      <alignment horizontal="center" vertical="center" shrinkToFit="1"/>
      <protection hidden="1"/>
    </xf>
    <xf numFmtId="0" fontId="26" fillId="22" borderId="43" xfId="27" applyFont="1" applyFill="1" applyBorder="1" applyAlignment="1" applyProtection="1">
      <alignment horizontal="right" vertical="center" shrinkToFit="1"/>
      <protection hidden="1"/>
    </xf>
    <xf numFmtId="0" fontId="26" fillId="22" borderId="46" xfId="27" applyFont="1" applyFill="1" applyBorder="1" applyAlignment="1" applyProtection="1">
      <alignment horizontal="right" vertical="center" indent="1" shrinkToFit="1"/>
      <protection hidden="1"/>
    </xf>
    <xf numFmtId="0" fontId="28" fillId="0" borderId="56" xfId="30" applyFont="1" applyBorder="1" applyAlignment="1" applyProtection="1">
      <alignment horizontal="center" vertical="center" shrinkToFit="1"/>
      <protection locked="0" hidden="1"/>
    </xf>
    <xf numFmtId="0" fontId="45" fillId="11" borderId="56" xfId="28" applyFont="1" applyFill="1" applyBorder="1" applyProtection="1">
      <alignment horizontal="center" vertical="center" shrinkToFit="1"/>
      <protection hidden="1"/>
    </xf>
    <xf numFmtId="0" fontId="98" fillId="8" borderId="0" xfId="30" applyFont="1" applyFill="1" applyAlignment="1" applyProtection="1">
      <alignment vertical="center"/>
      <protection hidden="1"/>
    </xf>
    <xf numFmtId="9" fontId="15" fillId="5" borderId="44" xfId="39" applyNumberFormat="1" applyFont="1" applyFill="1" applyBorder="1" applyProtection="1">
      <alignment horizontal="center" vertical="center" shrinkToFit="1"/>
      <protection hidden="1"/>
    </xf>
    <xf numFmtId="171" fontId="23" fillId="5" borderId="105" xfId="30" applyNumberFormat="1" applyFont="1" applyFill="1" applyBorder="1" applyAlignment="1" applyProtection="1">
      <alignment horizontal="center" vertical="center" shrinkToFit="1"/>
      <protection hidden="1"/>
    </xf>
    <xf numFmtId="0" fontId="31" fillId="0" borderId="0" xfId="30" applyFont="1" applyAlignment="1" applyProtection="1">
      <alignment vertical="center"/>
      <protection hidden="1"/>
    </xf>
    <xf numFmtId="0" fontId="31" fillId="0" borderId="0" xfId="30" applyFont="1" applyAlignment="1" applyProtection="1">
      <alignment horizontal="center" vertical="center"/>
      <protection hidden="1"/>
    </xf>
    <xf numFmtId="0" fontId="29" fillId="5" borderId="0" xfId="29" applyFont="1" applyFill="1" applyAlignment="1" applyProtection="1">
      <alignment vertical="center" shrinkToFit="1"/>
      <protection hidden="1"/>
    </xf>
    <xf numFmtId="0" fontId="29" fillId="0" borderId="0" xfId="29" applyFont="1" applyAlignment="1" applyProtection="1">
      <alignment vertical="center" shrinkToFit="1"/>
      <protection hidden="1"/>
    </xf>
    <xf numFmtId="0" fontId="31" fillId="5" borderId="0" xfId="30" applyFont="1" applyFill="1" applyAlignment="1" applyProtection="1">
      <alignment vertical="center"/>
      <protection hidden="1"/>
    </xf>
    <xf numFmtId="0" fontId="31" fillId="0" borderId="0" xfId="30" applyFont="1" applyAlignment="1" applyProtection="1">
      <alignment horizontal="right" vertical="center"/>
      <protection hidden="1"/>
    </xf>
    <xf numFmtId="0" fontId="29" fillId="0" borderId="0" xfId="29" applyFont="1" applyAlignment="1" applyProtection="1">
      <alignment horizontal="center" vertical="center" shrinkToFit="1"/>
      <protection hidden="1"/>
    </xf>
    <xf numFmtId="170" fontId="12" fillId="22" borderId="109" xfId="30" applyNumberFormat="1" applyFont="1" applyFill="1" applyBorder="1" applyAlignment="1" applyProtection="1">
      <alignment horizontal="center" vertical="center"/>
      <protection hidden="1"/>
    </xf>
    <xf numFmtId="171" fontId="103" fillId="5" borderId="112" xfId="30" applyNumberFormat="1" applyFont="1" applyFill="1" applyBorder="1" applyAlignment="1" applyProtection="1">
      <alignment horizontal="center" vertical="center"/>
      <protection hidden="1"/>
    </xf>
    <xf numFmtId="170" fontId="35" fillId="5" borderId="0" xfId="29" applyNumberFormat="1" applyFont="1" applyFill="1" applyAlignment="1" applyProtection="1">
      <alignment horizontal="right" vertical="center" shrinkToFit="1"/>
      <protection hidden="1"/>
    </xf>
    <xf numFmtId="0" fontId="44" fillId="0" borderId="0" xfId="29" applyFont="1" applyAlignment="1" applyProtection="1">
      <alignment horizontal="center" vertical="center" shrinkToFit="1"/>
      <protection hidden="1"/>
    </xf>
    <xf numFmtId="0" fontId="24" fillId="0" borderId="0" xfId="39" applyFont="1" applyAlignment="1" applyProtection="1">
      <alignment vertical="center" shrinkToFit="1"/>
      <protection hidden="1"/>
    </xf>
    <xf numFmtId="3" fontId="32" fillId="11" borderId="44" xfId="30" applyNumberFormat="1" applyFont="1" applyFill="1" applyBorder="1" applyAlignment="1" applyProtection="1">
      <alignment horizontal="right" vertical="center"/>
      <protection locked="0" hidden="1"/>
    </xf>
    <xf numFmtId="3" fontId="32" fillId="11" borderId="44" xfId="29" applyNumberFormat="1" applyFont="1" applyFill="1" applyBorder="1" applyAlignment="1" applyProtection="1">
      <alignment horizontal="right" vertical="center" shrinkToFit="1"/>
      <protection locked="0" hidden="1"/>
    </xf>
    <xf numFmtId="0" fontId="45" fillId="0" borderId="44" xfId="30" applyFont="1" applyBorder="1" applyAlignment="1" applyProtection="1">
      <alignment vertical="center"/>
      <protection hidden="1"/>
    </xf>
    <xf numFmtId="3" fontId="60" fillId="26" borderId="44" xfId="30" applyNumberFormat="1" applyFont="1" applyFill="1" applyBorder="1" applyAlignment="1" applyProtection="1">
      <alignment horizontal="center" vertical="center"/>
      <protection locked="0" hidden="1"/>
    </xf>
    <xf numFmtId="0" fontId="60" fillId="27" borderId="44" xfId="30" applyFont="1" applyFill="1" applyBorder="1" applyAlignment="1" applyProtection="1">
      <alignment horizontal="center" vertical="center"/>
      <protection hidden="1"/>
    </xf>
    <xf numFmtId="174" fontId="60" fillId="27" borderId="44" xfId="30" applyNumberFormat="1" applyFont="1" applyFill="1" applyBorder="1" applyAlignment="1" applyProtection="1">
      <alignment horizontal="right" vertical="center"/>
      <protection hidden="1"/>
    </xf>
    <xf numFmtId="0" fontId="60" fillId="2" borderId="44" xfId="30" applyFont="1" applyFill="1" applyBorder="1" applyAlignment="1" applyProtection="1">
      <alignment horizontal="right" vertical="center"/>
      <protection locked="0" hidden="1"/>
    </xf>
    <xf numFmtId="174" fontId="60" fillId="2" borderId="44" xfId="30" applyNumberFormat="1" applyFont="1" applyFill="1" applyBorder="1" applyAlignment="1" applyProtection="1">
      <alignment horizontal="right" vertical="center"/>
      <protection locked="0" hidden="1"/>
    </xf>
    <xf numFmtId="3" fontId="60" fillId="27" borderId="44" xfId="30" applyNumberFormat="1" applyFont="1" applyFill="1" applyBorder="1" applyAlignment="1" applyProtection="1">
      <alignment horizontal="right" vertical="center"/>
      <protection hidden="1"/>
    </xf>
    <xf numFmtId="0" fontId="60" fillId="27" borderId="44" xfId="30" applyFont="1" applyFill="1" applyBorder="1" applyAlignment="1" applyProtection="1">
      <alignment horizontal="right" vertical="center"/>
      <protection hidden="1"/>
    </xf>
    <xf numFmtId="0" fontId="23" fillId="9" borderId="99" xfId="30" applyFont="1" applyFill="1" applyBorder="1" applyAlignment="1" applyProtection="1">
      <alignment horizontal="right" vertical="center"/>
      <protection locked="0" hidden="1"/>
    </xf>
    <xf numFmtId="0" fontId="34" fillId="22" borderId="44" xfId="30" applyFont="1" applyFill="1" applyBorder="1" applyAlignment="1" applyProtection="1">
      <alignment horizontal="center" vertical="center"/>
      <protection hidden="1"/>
    </xf>
    <xf numFmtId="0" fontId="34" fillId="22" borderId="44" xfId="29" applyFont="1" applyFill="1" applyBorder="1" applyAlignment="1" applyProtection="1">
      <alignment horizontal="center" vertical="center" shrinkToFit="1"/>
      <protection hidden="1"/>
    </xf>
    <xf numFmtId="0" fontId="31" fillId="11" borderId="44" xfId="30" applyFont="1" applyFill="1" applyBorder="1" applyAlignment="1" applyProtection="1">
      <alignment horizontal="center" vertical="center"/>
      <protection hidden="1"/>
    </xf>
    <xf numFmtId="0" fontId="29" fillId="28" borderId="53" xfId="29" applyFont="1" applyFill="1" applyBorder="1" applyAlignment="1" applyProtection="1">
      <alignment vertical="center" shrinkToFit="1"/>
      <protection hidden="1"/>
    </xf>
    <xf numFmtId="0" fontId="29" fillId="28" borderId="138" xfId="29" applyFont="1" applyFill="1" applyBorder="1" applyAlignment="1" applyProtection="1">
      <alignment vertical="center" shrinkToFit="1"/>
      <protection hidden="1"/>
    </xf>
    <xf numFmtId="168" fontId="30" fillId="28" borderId="138" xfId="29" applyNumberFormat="1" applyFont="1" applyFill="1" applyBorder="1" applyAlignment="1" applyProtection="1">
      <alignment horizontal="center" vertical="center" shrinkToFit="1"/>
      <protection hidden="1"/>
    </xf>
    <xf numFmtId="0" fontId="30" fillId="28" borderId="138" xfId="29" applyFont="1" applyFill="1" applyBorder="1" applyAlignment="1" applyProtection="1">
      <alignment horizontal="left" vertical="center" shrinkToFit="1"/>
      <protection hidden="1"/>
    </xf>
    <xf numFmtId="167" fontId="31" fillId="28" borderId="138" xfId="29" applyNumberFormat="1" applyFont="1" applyFill="1" applyBorder="1" applyAlignment="1" applyProtection="1">
      <alignment horizontal="left" vertical="center" shrinkToFit="1"/>
      <protection hidden="1"/>
    </xf>
    <xf numFmtId="41" fontId="31" fillId="28" borderId="138" xfId="29" applyNumberFormat="1" applyFont="1" applyFill="1" applyBorder="1" applyAlignment="1" applyProtection="1">
      <alignment horizontal="left" vertical="center" shrinkToFit="1"/>
      <protection hidden="1"/>
    </xf>
    <xf numFmtId="0" fontId="29" fillId="28" borderId="139" xfId="29" applyFont="1" applyFill="1" applyBorder="1" applyAlignment="1" applyProtection="1">
      <alignment vertical="center" shrinkToFit="1"/>
      <protection hidden="1"/>
    </xf>
    <xf numFmtId="0" fontId="31" fillId="28" borderId="140" xfId="30" applyFont="1" applyFill="1" applyBorder="1" applyAlignment="1" applyProtection="1">
      <alignment vertical="center"/>
      <protection hidden="1"/>
    </xf>
    <xf numFmtId="0" fontId="31" fillId="28" borderId="0" xfId="30" applyFont="1" applyFill="1" applyAlignment="1" applyProtection="1">
      <alignment vertical="center"/>
      <protection hidden="1"/>
    </xf>
    <xf numFmtId="0" fontId="74" fillId="28" borderId="0" xfId="30" applyFont="1" applyFill="1" applyAlignment="1" applyProtection="1">
      <alignment vertical="center"/>
      <protection hidden="1"/>
    </xf>
    <xf numFmtId="0" fontId="31" fillId="28" borderId="141" xfId="30" applyFont="1" applyFill="1" applyBorder="1" applyAlignment="1" applyProtection="1">
      <alignment vertical="center"/>
      <protection hidden="1"/>
    </xf>
    <xf numFmtId="172" fontId="27" fillId="28" borderId="0" xfId="30" applyNumberFormat="1" applyFont="1" applyFill="1" applyAlignment="1" applyProtection="1">
      <alignment vertical="center"/>
      <protection hidden="1"/>
    </xf>
    <xf numFmtId="0" fontId="93" fillId="28" borderId="140" xfId="30" applyFont="1" applyFill="1" applyBorder="1" applyAlignment="1" applyProtection="1">
      <alignment vertical="center"/>
      <protection hidden="1"/>
    </xf>
    <xf numFmtId="0" fontId="73" fillId="28" borderId="140" xfId="30" applyFont="1" applyFill="1" applyBorder="1" applyAlignment="1" applyProtection="1">
      <alignment vertical="center"/>
      <protection hidden="1"/>
    </xf>
    <xf numFmtId="0" fontId="95" fillId="28" borderId="140" xfId="30" applyFont="1" applyFill="1" applyBorder="1" applyAlignment="1" applyProtection="1">
      <alignment vertical="center"/>
      <protection hidden="1"/>
    </xf>
    <xf numFmtId="0" fontId="29" fillId="28" borderId="140" xfId="29" applyFont="1" applyFill="1" applyBorder="1" applyAlignment="1" applyProtection="1">
      <alignment vertical="center" shrinkToFit="1"/>
      <protection hidden="1"/>
    </xf>
    <xf numFmtId="0" fontId="93" fillId="28" borderId="0" xfId="30" applyFont="1" applyFill="1" applyAlignment="1" applyProtection="1">
      <alignment vertical="center"/>
      <protection hidden="1"/>
    </xf>
    <xf numFmtId="0" fontId="73" fillId="28" borderId="0" xfId="30" applyFont="1" applyFill="1" applyAlignment="1" applyProtection="1">
      <alignment vertical="center"/>
      <protection hidden="1"/>
    </xf>
    <xf numFmtId="0" fontId="95" fillId="28" borderId="0" xfId="30" applyFont="1" applyFill="1" applyAlignment="1" applyProtection="1">
      <alignment vertical="center"/>
      <protection hidden="1"/>
    </xf>
    <xf numFmtId="0" fontId="31" fillId="28" borderId="0" xfId="29" applyFont="1" applyFill="1" applyAlignment="1" applyProtection="1">
      <alignment vertical="center" shrinkToFit="1"/>
      <protection hidden="1"/>
    </xf>
    <xf numFmtId="171" fontId="31" fillId="28" borderId="0" xfId="30" applyNumberFormat="1" applyFont="1" applyFill="1" applyAlignment="1" applyProtection="1">
      <alignment horizontal="center" vertical="center"/>
      <protection hidden="1"/>
    </xf>
    <xf numFmtId="0" fontId="29" fillId="28" borderId="141" xfId="29" applyFont="1" applyFill="1" applyBorder="1" applyAlignment="1" applyProtection="1">
      <alignment vertical="center" shrinkToFit="1"/>
      <protection hidden="1"/>
    </xf>
    <xf numFmtId="170" fontId="35" fillId="28" borderId="66" xfId="29" applyNumberFormat="1" applyFont="1" applyFill="1" applyBorder="1" applyAlignment="1" applyProtection="1">
      <alignment horizontal="right" vertical="center" shrinkToFit="1"/>
      <protection hidden="1"/>
    </xf>
    <xf numFmtId="170" fontId="35" fillId="28" borderId="68" xfId="29" applyNumberFormat="1" applyFont="1" applyFill="1" applyBorder="1" applyAlignment="1" applyProtection="1">
      <alignment horizontal="right" vertical="center" shrinkToFit="1"/>
      <protection hidden="1"/>
    </xf>
    <xf numFmtId="0" fontId="29" fillId="28" borderId="142" xfId="29" applyFont="1" applyFill="1" applyBorder="1" applyAlignment="1" applyProtection="1">
      <alignment vertical="center" shrinkToFit="1"/>
      <protection hidden="1"/>
    </xf>
    <xf numFmtId="170" fontId="76" fillId="28" borderId="0" xfId="30" applyNumberFormat="1" applyFont="1" applyFill="1" applyAlignment="1" applyProtection="1">
      <alignment vertical="center"/>
      <protection hidden="1"/>
    </xf>
    <xf numFmtId="170" fontId="94" fillId="28" borderId="0" xfId="30" applyNumberFormat="1" applyFont="1" applyFill="1" applyAlignment="1" applyProtection="1">
      <alignment vertical="center"/>
      <protection hidden="1"/>
    </xf>
    <xf numFmtId="0" fontId="92" fillId="28" borderId="0" xfId="30" applyFont="1" applyFill="1" applyAlignment="1" applyProtection="1">
      <alignment vertical="center"/>
      <protection hidden="1"/>
    </xf>
    <xf numFmtId="0" fontId="31" fillId="28" borderId="0" xfId="30" applyFont="1" applyFill="1" applyAlignment="1" applyProtection="1">
      <alignment horizontal="center" vertical="center"/>
      <protection hidden="1"/>
    </xf>
    <xf numFmtId="171" fontId="31" fillId="28" borderId="0" xfId="30" applyNumberFormat="1" applyFont="1" applyFill="1" applyAlignment="1" applyProtection="1">
      <alignment horizontal="center" vertical="center" shrinkToFit="1"/>
      <protection hidden="1"/>
    </xf>
    <xf numFmtId="170" fontId="93" fillId="28" borderId="0" xfId="30" applyNumberFormat="1" applyFont="1" applyFill="1" applyAlignment="1" applyProtection="1">
      <alignment horizontal="right" vertical="center"/>
      <protection hidden="1"/>
    </xf>
    <xf numFmtId="170" fontId="93" fillId="28" borderId="0" xfId="30" applyNumberFormat="1" applyFont="1" applyFill="1" applyAlignment="1" applyProtection="1">
      <alignment horizontal="center" vertical="center"/>
      <protection hidden="1"/>
    </xf>
    <xf numFmtId="0" fontId="76" fillId="28" borderId="0" xfId="30" applyFont="1" applyFill="1" applyAlignment="1" applyProtection="1">
      <alignment horizontal="center" vertical="center"/>
      <protection hidden="1"/>
    </xf>
    <xf numFmtId="170" fontId="94" fillId="28" borderId="0" xfId="30" applyNumberFormat="1" applyFont="1" applyFill="1" applyAlignment="1" applyProtection="1">
      <alignment horizontal="right" vertical="center"/>
      <protection hidden="1"/>
    </xf>
    <xf numFmtId="0" fontId="94" fillId="28" borderId="0" xfId="30" applyFont="1" applyFill="1" applyAlignment="1" applyProtection="1">
      <alignment vertical="center"/>
      <protection hidden="1"/>
    </xf>
    <xf numFmtId="0" fontId="92" fillId="28" borderId="0" xfId="30" applyFont="1" applyFill="1" applyAlignment="1" applyProtection="1">
      <alignment horizontal="right" vertical="center"/>
      <protection hidden="1"/>
    </xf>
    <xf numFmtId="0" fontId="76" fillId="28" borderId="0" xfId="30" applyFont="1" applyFill="1" applyAlignment="1" applyProtection="1">
      <alignment vertical="center"/>
      <protection hidden="1"/>
    </xf>
    <xf numFmtId="0" fontId="77" fillId="28" borderId="141" xfId="30" applyFont="1" applyFill="1" applyBorder="1" applyAlignment="1" applyProtection="1">
      <alignment vertical="center"/>
      <protection hidden="1"/>
    </xf>
    <xf numFmtId="0" fontId="77" fillId="28" borderId="0" xfId="30" applyFont="1" applyFill="1" applyAlignment="1" applyProtection="1">
      <alignment vertical="center"/>
      <protection hidden="1"/>
    </xf>
    <xf numFmtId="172" fontId="75" fillId="28" borderId="0" xfId="30" applyNumberFormat="1" applyFont="1" applyFill="1" applyAlignment="1" applyProtection="1">
      <alignment vertical="center" shrinkToFit="1"/>
      <protection hidden="1"/>
    </xf>
    <xf numFmtId="0" fontId="73" fillId="28" borderId="141" xfId="30" applyFont="1" applyFill="1" applyBorder="1" applyAlignment="1" applyProtection="1">
      <alignment vertical="center"/>
      <protection hidden="1"/>
    </xf>
    <xf numFmtId="0" fontId="93" fillId="28" borderId="141" xfId="30" applyFont="1" applyFill="1" applyBorder="1" applyAlignment="1" applyProtection="1">
      <alignment vertical="center"/>
      <protection hidden="1"/>
    </xf>
    <xf numFmtId="3" fontId="73" fillId="28" borderId="141" xfId="30" applyNumberFormat="1" applyFont="1" applyFill="1" applyBorder="1" applyAlignment="1" applyProtection="1">
      <alignment vertical="center"/>
      <protection hidden="1"/>
    </xf>
    <xf numFmtId="0" fontId="95" fillId="28" borderId="141" xfId="30" applyFont="1" applyFill="1" applyBorder="1" applyAlignment="1" applyProtection="1">
      <alignment vertical="center"/>
      <protection hidden="1"/>
    </xf>
    <xf numFmtId="0" fontId="29" fillId="28" borderId="0" xfId="29" applyFont="1" applyFill="1" applyAlignment="1" applyProtection="1">
      <alignment vertical="center" shrinkToFit="1"/>
      <protection hidden="1"/>
    </xf>
    <xf numFmtId="167" fontId="31" fillId="28" borderId="0" xfId="29" applyNumberFormat="1" applyFont="1" applyFill="1" applyAlignment="1" applyProtection="1">
      <alignment vertical="center" shrinkToFit="1"/>
      <protection hidden="1"/>
    </xf>
    <xf numFmtId="41" fontId="31" fillId="28" borderId="0" xfId="29" applyNumberFormat="1" applyFont="1" applyFill="1" applyAlignment="1" applyProtection="1">
      <alignment vertical="center" shrinkToFit="1"/>
      <protection hidden="1"/>
    </xf>
    <xf numFmtId="0" fontId="112" fillId="28" borderId="0" xfId="30" applyFont="1" applyFill="1" applyAlignment="1" applyProtection="1">
      <alignment vertical="center"/>
      <protection hidden="1"/>
    </xf>
    <xf numFmtId="0" fontId="115" fillId="28" borderId="0" xfId="29" applyFont="1" applyFill="1" applyAlignment="1" applyProtection="1">
      <alignment vertical="center"/>
      <protection hidden="1"/>
    </xf>
    <xf numFmtId="170" fontId="115" fillId="28" borderId="0" xfId="29" applyNumberFormat="1" applyFont="1" applyFill="1" applyAlignment="1" applyProtection="1">
      <alignment vertical="center" shrinkToFit="1"/>
      <protection hidden="1"/>
    </xf>
    <xf numFmtId="170" fontId="115" fillId="28" borderId="0" xfId="29" applyNumberFormat="1" applyFont="1" applyFill="1" applyAlignment="1" applyProtection="1">
      <alignment horizontal="center" vertical="center" shrinkToFit="1"/>
      <protection hidden="1"/>
    </xf>
    <xf numFmtId="170" fontId="115" fillId="28" borderId="0" xfId="29" applyNumberFormat="1" applyFont="1" applyFill="1" applyAlignment="1" applyProtection="1">
      <alignment vertical="center"/>
      <protection hidden="1"/>
    </xf>
    <xf numFmtId="171" fontId="76" fillId="28" borderId="0" xfId="30" applyNumberFormat="1" applyFont="1" applyFill="1" applyAlignment="1" applyProtection="1">
      <alignment vertical="center"/>
      <protection hidden="1"/>
    </xf>
    <xf numFmtId="171" fontId="76" fillId="5" borderId="152" xfId="30" applyNumberFormat="1" applyFont="1" applyFill="1" applyBorder="1" applyAlignment="1" applyProtection="1">
      <alignment horizontal="right" vertical="center"/>
      <protection hidden="1"/>
    </xf>
    <xf numFmtId="170" fontId="76" fillId="5" borderId="153" xfId="30" applyNumberFormat="1" applyFont="1" applyFill="1" applyBorder="1" applyAlignment="1" applyProtection="1">
      <alignment horizontal="center" vertical="center"/>
      <protection hidden="1"/>
    </xf>
    <xf numFmtId="170" fontId="103" fillId="28" borderId="0" xfId="30" applyNumberFormat="1" applyFont="1" applyFill="1" applyAlignment="1" applyProtection="1">
      <alignment vertical="center"/>
      <protection hidden="1"/>
    </xf>
    <xf numFmtId="0" fontId="103" fillId="28" borderId="0" xfId="30" applyFont="1" applyFill="1" applyAlignment="1" applyProtection="1">
      <alignment vertical="center"/>
      <protection hidden="1"/>
    </xf>
    <xf numFmtId="171" fontId="103" fillId="28" borderId="0" xfId="30" applyNumberFormat="1" applyFont="1" applyFill="1" applyAlignment="1" applyProtection="1">
      <alignment vertical="center"/>
      <protection hidden="1"/>
    </xf>
    <xf numFmtId="171" fontId="103" fillId="5" borderId="152" xfId="30" applyNumberFormat="1" applyFont="1" applyFill="1" applyBorder="1" applyAlignment="1" applyProtection="1">
      <alignment horizontal="right" vertical="center"/>
      <protection hidden="1"/>
    </xf>
    <xf numFmtId="170" fontId="103" fillId="5" borderId="153" xfId="30" applyNumberFormat="1" applyFont="1" applyFill="1" applyBorder="1" applyAlignment="1" applyProtection="1">
      <alignment horizontal="center" vertical="center"/>
      <protection hidden="1"/>
    </xf>
    <xf numFmtId="171" fontId="36" fillId="5" borderId="50" xfId="0" applyNumberFormat="1" applyFont="1" applyFill="1" applyBorder="1" applyAlignment="1" applyProtection="1">
      <alignment horizontal="center" vertical="center"/>
      <protection hidden="1"/>
    </xf>
    <xf numFmtId="9" fontId="36" fillId="5" borderId="51" xfId="0" applyNumberFormat="1" applyFont="1" applyFill="1" applyBorder="1" applyAlignment="1" applyProtection="1">
      <alignment horizontal="center" vertical="center"/>
      <protection hidden="1"/>
    </xf>
    <xf numFmtId="171" fontId="36" fillId="5" borderId="51" xfId="0" applyNumberFormat="1" applyFont="1" applyFill="1" applyBorder="1" applyAlignment="1" applyProtection="1">
      <alignment horizontal="center" vertical="center"/>
      <protection hidden="1"/>
    </xf>
    <xf numFmtId="171" fontId="36" fillId="5" borderId="60" xfId="0" applyNumberFormat="1" applyFont="1" applyFill="1" applyBorder="1" applyAlignment="1" applyProtection="1">
      <alignment horizontal="center" vertical="center"/>
      <protection hidden="1"/>
    </xf>
    <xf numFmtId="174" fontId="119" fillId="5" borderId="46" xfId="31" applyNumberFormat="1" applyFont="1" applyFill="1" applyBorder="1" applyAlignment="1" applyProtection="1">
      <alignment horizontal="center" vertical="center" shrinkToFit="1"/>
      <protection hidden="1"/>
    </xf>
    <xf numFmtId="174" fontId="119" fillId="5" borderId="46" xfId="0" applyNumberFormat="1" applyFont="1" applyFill="1" applyBorder="1" applyAlignment="1" applyProtection="1">
      <alignment horizontal="center" vertical="center"/>
      <protection hidden="1"/>
    </xf>
    <xf numFmtId="174" fontId="119" fillId="5" borderId="60" xfId="0" applyNumberFormat="1" applyFont="1" applyFill="1" applyBorder="1" applyAlignment="1" applyProtection="1">
      <alignment horizontal="center" vertical="center"/>
      <protection hidden="1"/>
    </xf>
    <xf numFmtId="0" fontId="71" fillId="22" borderId="44" xfId="0" applyFont="1" applyFill="1" applyBorder="1" applyAlignment="1" applyProtection="1">
      <alignment horizontal="center" vertical="center" shrinkToFit="1"/>
      <protection hidden="1"/>
    </xf>
    <xf numFmtId="0" fontId="71" fillId="22" borderId="44" xfId="0" applyFont="1" applyFill="1" applyBorder="1" applyAlignment="1" applyProtection="1">
      <alignment horizontal="center" vertical="center"/>
      <protection hidden="1"/>
    </xf>
    <xf numFmtId="0" fontId="71" fillId="22" borderId="51" xfId="0" applyFont="1" applyFill="1" applyBorder="1" applyAlignment="1" applyProtection="1">
      <alignment horizontal="center" vertical="center"/>
      <protection hidden="1"/>
    </xf>
    <xf numFmtId="171" fontId="36" fillId="5" borderId="80" xfId="0" applyNumberFormat="1" applyFont="1" applyFill="1" applyBorder="1" applyAlignment="1" applyProtection="1">
      <alignment horizontal="right" vertical="center" shrinkToFit="1"/>
      <protection hidden="1"/>
    </xf>
    <xf numFmtId="171" fontId="36" fillId="5" borderId="81" xfId="0" applyNumberFormat="1" applyFont="1" applyFill="1" applyBorder="1" applyAlignment="1" applyProtection="1">
      <alignment horizontal="right" vertical="center" shrinkToFit="1"/>
      <protection hidden="1"/>
    </xf>
    <xf numFmtId="171" fontId="36" fillId="5" borderId="74" xfId="0" applyNumberFormat="1" applyFont="1" applyFill="1" applyBorder="1" applyAlignment="1" applyProtection="1">
      <alignment horizontal="right" vertical="center" shrinkToFit="1"/>
      <protection hidden="1"/>
    </xf>
    <xf numFmtId="171" fontId="36" fillId="5" borderId="75" xfId="0" applyNumberFormat="1" applyFont="1" applyFill="1" applyBorder="1" applyAlignment="1" applyProtection="1">
      <alignment horizontal="right" vertical="center" shrinkToFit="1"/>
      <protection hidden="1"/>
    </xf>
    <xf numFmtId="171" fontId="36" fillId="11" borderId="74" xfId="0" applyNumberFormat="1" applyFont="1" applyFill="1" applyBorder="1" applyAlignment="1" applyProtection="1">
      <alignment horizontal="right" vertical="center" shrinkToFit="1"/>
      <protection hidden="1"/>
    </xf>
    <xf numFmtId="171" fontId="36" fillId="5" borderId="70" xfId="0" applyNumberFormat="1" applyFont="1" applyFill="1" applyBorder="1" applyAlignment="1" applyProtection="1">
      <alignment horizontal="right" vertical="center" shrinkToFit="1"/>
      <protection hidden="1"/>
    </xf>
    <xf numFmtId="171" fontId="36" fillId="5" borderId="82" xfId="0" applyNumberFormat="1" applyFont="1" applyFill="1" applyBorder="1" applyAlignment="1" applyProtection="1">
      <alignment horizontal="right" vertical="center" shrinkToFit="1"/>
      <protection hidden="1"/>
    </xf>
    <xf numFmtId="171" fontId="71" fillId="22" borderId="44" xfId="0" applyNumberFormat="1" applyFont="1" applyFill="1" applyBorder="1" applyAlignment="1" applyProtection="1">
      <alignment horizontal="right" vertical="center" shrinkToFit="1"/>
      <protection hidden="1"/>
    </xf>
    <xf numFmtId="171" fontId="71" fillId="22" borderId="51" xfId="0" applyNumberFormat="1" applyFont="1" applyFill="1" applyBorder="1" applyAlignment="1" applyProtection="1">
      <alignment horizontal="right" vertical="center" shrinkToFit="1"/>
      <protection hidden="1"/>
    </xf>
    <xf numFmtId="171" fontId="71" fillId="4" borderId="46" xfId="0" applyNumberFormat="1" applyFont="1" applyFill="1" applyBorder="1" applyAlignment="1" applyProtection="1">
      <alignment horizontal="right" vertical="center" shrinkToFit="1"/>
      <protection hidden="1"/>
    </xf>
    <xf numFmtId="171" fontId="71" fillId="4" borderId="60" xfId="0" applyNumberFormat="1" applyFont="1" applyFill="1" applyBorder="1" applyAlignment="1" applyProtection="1">
      <alignment horizontal="right" vertical="center" shrinkToFit="1"/>
      <protection hidden="1"/>
    </xf>
    <xf numFmtId="0" fontId="71" fillId="22" borderId="89" xfId="0" applyFont="1" applyFill="1" applyBorder="1" applyAlignment="1" applyProtection="1">
      <alignment horizontal="center" vertical="center"/>
      <protection hidden="1"/>
    </xf>
    <xf numFmtId="0" fontId="71" fillId="22" borderId="91" xfId="0" applyFont="1" applyFill="1" applyBorder="1" applyAlignment="1" applyProtection="1">
      <alignment horizontal="center" vertical="center"/>
      <protection hidden="1"/>
    </xf>
    <xf numFmtId="0" fontId="65" fillId="5" borderId="0" xfId="0" applyFont="1" applyFill="1" applyAlignment="1" applyProtection="1">
      <alignment horizontal="center" vertical="center"/>
      <protection locked="0" hidden="1"/>
    </xf>
    <xf numFmtId="0" fontId="45" fillId="5" borderId="0" xfId="0" applyFont="1" applyFill="1" applyAlignment="1" applyProtection="1">
      <alignment horizontal="center" vertical="center"/>
      <protection locked="0" hidden="1"/>
    </xf>
    <xf numFmtId="0" fontId="67" fillId="5" borderId="0" xfId="0" applyFont="1" applyFill="1" applyAlignment="1" applyProtection="1">
      <alignment horizontal="center" vertical="center" shrinkToFit="1"/>
      <protection hidden="1"/>
    </xf>
    <xf numFmtId="171" fontId="36" fillId="8" borderId="44" xfId="0" applyNumberFormat="1" applyFont="1" applyFill="1" applyBorder="1" applyAlignment="1" applyProtection="1">
      <alignment horizontal="right" vertical="center" shrinkToFit="1"/>
      <protection hidden="1"/>
    </xf>
    <xf numFmtId="171" fontId="36" fillId="8" borderId="51" xfId="0" applyNumberFormat="1" applyFont="1" applyFill="1" applyBorder="1" applyAlignment="1" applyProtection="1">
      <alignment horizontal="right" vertical="center" shrinkToFit="1"/>
      <protection hidden="1"/>
    </xf>
    <xf numFmtId="171" fontId="36" fillId="0" borderId="75" xfId="0" applyNumberFormat="1" applyFont="1" applyBorder="1" applyAlignment="1" applyProtection="1">
      <alignment horizontal="right" vertical="center" shrinkToFit="1"/>
      <protection hidden="1"/>
    </xf>
    <xf numFmtId="0" fontId="28" fillId="5" borderId="0" xfId="0" applyFont="1" applyFill="1" applyAlignment="1" applyProtection="1">
      <alignment horizontal="center" vertical="center" shrinkToFit="1"/>
      <protection locked="0" hidden="1"/>
    </xf>
    <xf numFmtId="0" fontId="28" fillId="5" borderId="0" xfId="0" applyFont="1" applyFill="1" applyAlignment="1" applyProtection="1">
      <alignment horizontal="left" vertical="center"/>
      <protection locked="0" hidden="1"/>
    </xf>
    <xf numFmtId="0" fontId="67" fillId="5" borderId="0" xfId="0" applyFont="1" applyFill="1" applyAlignment="1" applyProtection="1">
      <alignment horizontal="center" vertical="center"/>
      <protection hidden="1"/>
    </xf>
    <xf numFmtId="0" fontId="18" fillId="5" borderId="0" xfId="0" applyFont="1" applyFill="1" applyAlignment="1" applyProtection="1">
      <alignment horizontal="center" vertical="center"/>
      <protection hidden="1"/>
    </xf>
    <xf numFmtId="3" fontId="18" fillId="5" borderId="0" xfId="0" applyNumberFormat="1" applyFont="1" applyFill="1" applyAlignment="1" applyProtection="1">
      <alignment horizontal="center" vertical="center"/>
      <protection hidden="1"/>
    </xf>
    <xf numFmtId="3" fontId="67" fillId="5" borderId="0" xfId="0" applyNumberFormat="1" applyFont="1" applyFill="1" applyAlignment="1" applyProtection="1">
      <alignment horizontal="center" vertical="center"/>
      <protection hidden="1"/>
    </xf>
    <xf numFmtId="3" fontId="87" fillId="5" borderId="0" xfId="0" applyNumberFormat="1" applyFont="1" applyFill="1" applyAlignment="1" applyProtection="1">
      <alignment horizontal="center" vertical="center"/>
      <protection hidden="1"/>
    </xf>
    <xf numFmtId="0" fontId="67" fillId="5" borderId="0" xfId="0" applyFont="1" applyFill="1" applyAlignment="1" applyProtection="1">
      <alignment horizontal="left" vertical="center"/>
      <protection hidden="1"/>
    </xf>
    <xf numFmtId="3" fontId="28" fillId="0" borderId="44" xfId="0" applyNumberFormat="1" applyFont="1" applyBorder="1" applyAlignment="1" applyProtection="1">
      <alignment horizontal="center" vertical="center"/>
      <protection locked="0" hidden="1"/>
    </xf>
    <xf numFmtId="0" fontId="26" fillId="22" borderId="3" xfId="39" applyFont="1" applyFill="1" applyBorder="1" applyProtection="1">
      <alignment horizontal="center" vertical="center" shrinkToFit="1"/>
      <protection hidden="1"/>
    </xf>
    <xf numFmtId="9" fontId="15" fillId="0" borderId="3" xfId="30" applyNumberFormat="1" applyFont="1" applyBorder="1" applyAlignment="1" applyProtection="1">
      <alignment horizontal="center" vertical="center" shrinkToFit="1"/>
      <protection locked="0" hidden="1"/>
    </xf>
    <xf numFmtId="0" fontId="122" fillId="20" borderId="44" xfId="0" applyFont="1" applyFill="1" applyBorder="1" applyAlignment="1" applyProtection="1">
      <alignment horizontal="center" vertical="center"/>
      <protection hidden="1"/>
    </xf>
    <xf numFmtId="0" fontId="122" fillId="19" borderId="44" xfId="0" applyFont="1" applyFill="1" applyBorder="1" applyAlignment="1" applyProtection="1">
      <alignment horizontal="center" vertical="center"/>
      <protection hidden="1"/>
    </xf>
    <xf numFmtId="0" fontId="122" fillId="0" borderId="0" xfId="0" applyFont="1" applyAlignment="1" applyProtection="1">
      <alignment horizontal="center" vertical="center"/>
      <protection hidden="1"/>
    </xf>
    <xf numFmtId="0" fontId="122" fillId="18" borderId="44" xfId="0" applyFont="1" applyFill="1" applyBorder="1" applyAlignment="1" applyProtection="1">
      <alignment horizontal="center" vertical="center"/>
      <protection locked="0" hidden="1"/>
    </xf>
    <xf numFmtId="9" fontId="122" fillId="18" borderId="44" xfId="0" applyNumberFormat="1" applyFont="1" applyFill="1" applyBorder="1" applyAlignment="1" applyProtection="1">
      <alignment horizontal="center" vertical="center"/>
      <protection locked="0" hidden="1"/>
    </xf>
    <xf numFmtId="0" fontId="122" fillId="0" borderId="44" xfId="0" applyFont="1" applyBorder="1" applyAlignment="1" applyProtection="1">
      <alignment horizontal="center" vertical="center"/>
      <protection hidden="1"/>
    </xf>
    <xf numFmtId="10" fontId="122" fillId="0" borderId="44" xfId="0" applyNumberFormat="1" applyFont="1" applyBorder="1" applyAlignment="1" applyProtection="1">
      <alignment horizontal="center" vertical="center"/>
      <protection hidden="1"/>
    </xf>
    <xf numFmtId="0" fontId="122" fillId="6" borderId="44" xfId="0" applyFont="1" applyFill="1" applyBorder="1" applyAlignment="1" applyProtection="1">
      <alignment horizontal="center" vertical="center"/>
      <protection hidden="1"/>
    </xf>
    <xf numFmtId="0" fontId="122" fillId="11" borderId="44" xfId="0" applyFont="1" applyFill="1" applyBorder="1" applyAlignment="1" applyProtection="1">
      <alignment horizontal="left" vertical="center"/>
      <protection hidden="1"/>
    </xf>
    <xf numFmtId="9" fontId="122" fillId="11" borderId="44" xfId="0" applyNumberFormat="1" applyFont="1" applyFill="1" applyBorder="1" applyAlignment="1" applyProtection="1">
      <alignment horizontal="center" vertical="center"/>
      <protection hidden="1"/>
    </xf>
    <xf numFmtId="0" fontId="122" fillId="11" borderId="56" xfId="0" applyFont="1" applyFill="1" applyBorder="1" applyAlignment="1" applyProtection="1">
      <alignment horizontal="left" vertical="center"/>
      <protection hidden="1"/>
    </xf>
    <xf numFmtId="10" fontId="122" fillId="0" borderId="56" xfId="0" applyNumberFormat="1" applyFont="1" applyBorder="1" applyAlignment="1" applyProtection="1">
      <alignment horizontal="center" vertical="center"/>
      <protection hidden="1"/>
    </xf>
    <xf numFmtId="0" fontId="122" fillId="0" borderId="44" xfId="0" applyFont="1" applyBorder="1" applyAlignment="1" applyProtection="1">
      <alignment horizontal="left" vertical="center"/>
      <protection hidden="1"/>
    </xf>
    <xf numFmtId="10" fontId="124" fillId="0" borderId="179" xfId="20" applyNumberFormat="1" applyFont="1" applyBorder="1" applyAlignment="1">
      <alignment horizontal="center" vertical="center" shrinkToFit="1"/>
    </xf>
    <xf numFmtId="10" fontId="124" fillId="0" borderId="180" xfId="20" applyNumberFormat="1" applyFont="1" applyBorder="1" applyAlignment="1">
      <alignment horizontal="center" vertical="center" shrinkToFit="1"/>
    </xf>
    <xf numFmtId="10" fontId="124" fillId="0" borderId="44" xfId="20" applyNumberFormat="1" applyFont="1" applyBorder="1" applyAlignment="1">
      <alignment horizontal="center" vertical="center" shrinkToFit="1"/>
    </xf>
    <xf numFmtId="10" fontId="124" fillId="0" borderId="44" xfId="20" applyNumberFormat="1" applyFont="1" applyBorder="1" applyAlignment="1">
      <alignment vertical="center" shrinkToFit="1"/>
    </xf>
    <xf numFmtId="10" fontId="125" fillId="0" borderId="44" xfId="0" applyNumberFormat="1" applyFont="1" applyBorder="1" applyAlignment="1" applyProtection="1">
      <alignment horizontal="center" vertical="center"/>
      <protection hidden="1"/>
    </xf>
    <xf numFmtId="10" fontId="125" fillId="0" borderId="3" xfId="0" applyNumberFormat="1" applyFont="1" applyBorder="1" applyAlignment="1" applyProtection="1">
      <alignment horizontal="center" vertical="center"/>
      <protection hidden="1"/>
    </xf>
    <xf numFmtId="0" fontId="70" fillId="23" borderId="96" xfId="0" applyFont="1" applyFill="1" applyBorder="1" applyAlignment="1" applyProtection="1">
      <alignment horizontal="center" vertical="center"/>
      <protection hidden="1"/>
    </xf>
    <xf numFmtId="9" fontId="14" fillId="11" borderId="21" xfId="0" applyNumberFormat="1" applyFont="1" applyFill="1" applyBorder="1" applyAlignment="1" applyProtection="1">
      <alignment horizontal="center" vertical="center"/>
      <protection hidden="1"/>
    </xf>
    <xf numFmtId="0" fontId="70" fillId="23" borderId="25" xfId="0" applyFont="1" applyFill="1" applyBorder="1" applyAlignment="1" applyProtection="1">
      <alignment horizontal="center" vertical="center"/>
      <protection hidden="1"/>
    </xf>
    <xf numFmtId="9" fontId="14" fillId="11" borderId="23" xfId="0" applyNumberFormat="1" applyFont="1" applyFill="1" applyBorder="1" applyAlignment="1" applyProtection="1">
      <alignment horizontal="center" vertical="center"/>
      <protection hidden="1"/>
    </xf>
    <xf numFmtId="0" fontId="34" fillId="22" borderId="127" xfId="0" applyFont="1" applyFill="1" applyBorder="1" applyAlignment="1" applyProtection="1">
      <alignment vertical="center" shrinkToFit="1"/>
      <protection hidden="1"/>
    </xf>
    <xf numFmtId="0" fontId="34" fillId="22" borderId="128" xfId="0" applyFont="1" applyFill="1" applyBorder="1" applyAlignment="1" applyProtection="1">
      <alignment vertical="center" shrinkToFit="1"/>
      <protection hidden="1"/>
    </xf>
    <xf numFmtId="0" fontId="15" fillId="5" borderId="181" xfId="0" applyFont="1" applyFill="1" applyBorder="1" applyAlignment="1" applyProtection="1">
      <alignment vertical="center" shrinkToFit="1"/>
      <protection hidden="1"/>
    </xf>
    <xf numFmtId="0" fontId="15" fillId="5" borderId="68" xfId="0" applyFont="1" applyFill="1" applyBorder="1" applyAlignment="1" applyProtection="1">
      <alignment vertical="center" shrinkToFit="1"/>
      <protection hidden="1"/>
    </xf>
    <xf numFmtId="9" fontId="15" fillId="11" borderId="182" xfId="0" applyNumberFormat="1" applyFont="1" applyFill="1" applyBorder="1" applyAlignment="1" applyProtection="1">
      <alignment horizontal="center" vertical="center" shrinkToFit="1"/>
      <protection hidden="1"/>
    </xf>
    <xf numFmtId="0" fontId="34" fillId="15" borderId="183" xfId="0" applyFont="1" applyFill="1" applyBorder="1" applyAlignment="1" applyProtection="1">
      <alignment horizontal="center" vertical="center" shrinkToFit="1"/>
      <protection hidden="1"/>
    </xf>
    <xf numFmtId="0" fontId="45" fillId="0" borderId="44" xfId="27" applyFont="1" applyBorder="1" applyAlignment="1" applyProtection="1">
      <alignment horizontal="center" vertical="center" shrinkToFit="1"/>
      <protection hidden="1"/>
    </xf>
    <xf numFmtId="9" fontId="34" fillId="22" borderId="59" xfId="30" applyNumberFormat="1" applyFont="1" applyFill="1" applyBorder="1" applyAlignment="1" applyProtection="1">
      <alignment horizontal="center" vertical="center"/>
      <protection hidden="1"/>
    </xf>
    <xf numFmtId="0" fontId="34" fillId="22" borderId="13" xfId="30" applyFont="1" applyFill="1" applyBorder="1" applyAlignment="1" applyProtection="1">
      <alignment horizontal="center" vertical="center"/>
      <protection hidden="1"/>
    </xf>
    <xf numFmtId="0" fontId="28" fillId="25" borderId="61" xfId="0" applyFont="1" applyFill="1" applyBorder="1" applyAlignment="1" applyProtection="1">
      <alignment vertical="center"/>
      <protection hidden="1"/>
    </xf>
    <xf numFmtId="0" fontId="28" fillId="25" borderId="68" xfId="0" applyFont="1" applyFill="1" applyBorder="1" applyAlignment="1" applyProtection="1">
      <alignment vertical="center"/>
      <protection hidden="1"/>
    </xf>
    <xf numFmtId="0" fontId="70" fillId="23" borderId="91" xfId="0" applyFont="1" applyFill="1" applyBorder="1" applyAlignment="1" applyProtection="1">
      <alignment horizontal="center" vertical="center"/>
      <protection hidden="1"/>
    </xf>
    <xf numFmtId="9" fontId="14" fillId="11" borderId="43" xfId="0" applyNumberFormat="1" applyFont="1" applyFill="1" applyBorder="1" applyAlignment="1" applyProtection="1">
      <alignment horizontal="center" vertical="center"/>
      <protection hidden="1"/>
    </xf>
    <xf numFmtId="9" fontId="14" fillId="11" borderId="51" xfId="0" applyNumberFormat="1" applyFont="1" applyFill="1" applyBorder="1" applyAlignment="1" applyProtection="1">
      <alignment horizontal="center" vertical="center"/>
      <protection hidden="1"/>
    </xf>
    <xf numFmtId="0" fontId="70" fillId="23" borderId="92" xfId="0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Alignment="1" applyProtection="1">
      <alignment vertical="center"/>
      <protection hidden="1"/>
    </xf>
    <xf numFmtId="166" fontId="28" fillId="5" borderId="0" xfId="0" applyNumberFormat="1" applyFont="1" applyFill="1" applyAlignment="1" applyProtection="1">
      <alignment vertical="center"/>
      <protection hidden="1"/>
    </xf>
    <xf numFmtId="9" fontId="15" fillId="5" borderId="44" xfId="41" applyNumberFormat="1" applyFont="1" applyFill="1" applyBorder="1" applyProtection="1">
      <alignment horizontal="center" vertical="center" shrinkToFit="1"/>
      <protection locked="0" hidden="1"/>
    </xf>
    <xf numFmtId="0" fontId="11" fillId="5" borderId="0" xfId="41" applyFont="1" applyFill="1" applyProtection="1">
      <alignment horizontal="center" vertical="center" shrinkToFit="1"/>
      <protection hidden="1"/>
    </xf>
    <xf numFmtId="0" fontId="26" fillId="15" borderId="43" xfId="41" applyFont="1" applyFill="1" applyBorder="1" applyProtection="1">
      <alignment horizontal="center" vertical="center" shrinkToFit="1"/>
      <protection hidden="1"/>
    </xf>
    <xf numFmtId="0" fontId="26" fillId="22" borderId="43" xfId="41" applyFont="1" applyFill="1" applyBorder="1" applyProtection="1">
      <alignment horizontal="center" vertical="center" shrinkToFit="1"/>
      <protection hidden="1"/>
    </xf>
    <xf numFmtId="174" fontId="15" fillId="5" borderId="44" xfId="41" applyNumberFormat="1" applyFont="1" applyFill="1" applyBorder="1" applyProtection="1">
      <alignment horizontal="center" vertical="center" shrinkToFit="1"/>
      <protection hidden="1"/>
    </xf>
    <xf numFmtId="166" fontId="15" fillId="5" borderId="44" xfId="41" applyNumberFormat="1" applyFont="1" applyFill="1" applyBorder="1" applyProtection="1">
      <alignment horizontal="center" vertical="center" shrinkToFit="1"/>
      <protection hidden="1"/>
    </xf>
    <xf numFmtId="166" fontId="15" fillId="5" borderId="51" xfId="41" applyNumberFormat="1" applyFont="1" applyFill="1" applyBorder="1" applyProtection="1">
      <alignment horizontal="center" vertical="center" shrinkToFit="1"/>
      <protection hidden="1"/>
    </xf>
    <xf numFmtId="174" fontId="15" fillId="11" borderId="44" xfId="41" applyNumberFormat="1" applyFont="1" applyFill="1" applyBorder="1" applyProtection="1">
      <alignment horizontal="center" vertical="center" shrinkToFit="1"/>
      <protection hidden="1"/>
    </xf>
    <xf numFmtId="166" fontId="15" fillId="11" borderId="44" xfId="41" applyNumberFormat="1" applyFont="1" applyFill="1" applyBorder="1" applyProtection="1">
      <alignment horizontal="center" vertical="center" shrinkToFit="1"/>
      <protection hidden="1"/>
    </xf>
    <xf numFmtId="166" fontId="15" fillId="11" borderId="51" xfId="41" applyNumberFormat="1" applyFont="1" applyFill="1" applyBorder="1" applyProtection="1">
      <alignment horizontal="center" vertical="center" shrinkToFit="1"/>
      <protection hidden="1"/>
    </xf>
    <xf numFmtId="10" fontId="26" fillId="15" borderId="44" xfId="41" applyNumberFormat="1" applyFont="1" applyFill="1" applyBorder="1" applyProtection="1">
      <alignment horizontal="center" vertical="center" shrinkToFit="1"/>
      <protection hidden="1"/>
    </xf>
    <xf numFmtId="9" fontId="26" fillId="15" borderId="44" xfId="41" applyNumberFormat="1" applyFont="1" applyFill="1" applyBorder="1" applyProtection="1">
      <alignment horizontal="center" vertical="center" shrinkToFit="1"/>
      <protection hidden="1"/>
    </xf>
    <xf numFmtId="9" fontId="26" fillId="15" borderId="51" xfId="41" applyNumberFormat="1" applyFont="1" applyFill="1" applyBorder="1" applyProtection="1">
      <alignment horizontal="center" vertical="center" shrinkToFit="1"/>
      <protection hidden="1"/>
    </xf>
    <xf numFmtId="0" fontId="26" fillId="23" borderId="56" xfId="41" applyFont="1" applyFill="1" applyBorder="1" applyProtection="1">
      <alignment horizontal="center" vertical="center" shrinkToFit="1"/>
      <protection hidden="1"/>
    </xf>
    <xf numFmtId="0" fontId="15" fillId="5" borderId="44" xfId="41" applyFont="1" applyFill="1" applyBorder="1" applyProtection="1">
      <alignment horizontal="center" vertical="center" shrinkToFit="1"/>
      <protection hidden="1"/>
    </xf>
    <xf numFmtId="9" fontId="15" fillId="5" borderId="44" xfId="41" applyNumberFormat="1" applyFont="1" applyFill="1" applyBorder="1" applyProtection="1">
      <alignment horizontal="center" vertical="center" shrinkToFit="1"/>
      <protection hidden="1"/>
    </xf>
    <xf numFmtId="3" fontId="10" fillId="5" borderId="0" xfId="41" applyNumberFormat="1" applyFont="1" applyFill="1" applyProtection="1">
      <alignment horizontal="center" vertical="center" shrinkToFit="1"/>
      <protection hidden="1"/>
    </xf>
    <xf numFmtId="174" fontId="24" fillId="8" borderId="80" xfId="27" applyNumberFormat="1" applyFont="1" applyFill="1" applyBorder="1" applyAlignment="1" applyProtection="1">
      <alignment horizontal="center" vertical="center" shrinkToFit="1"/>
      <protection hidden="1"/>
    </xf>
    <xf numFmtId="0" fontId="26" fillId="22" borderId="44" xfId="0" applyFont="1" applyFill="1" applyBorder="1" applyAlignment="1" applyProtection="1">
      <alignment horizontal="center" vertical="center"/>
      <protection hidden="1"/>
    </xf>
    <xf numFmtId="174" fontId="86" fillId="5" borderId="46" xfId="0" applyNumberFormat="1" applyFont="1" applyFill="1" applyBorder="1" applyAlignment="1" applyProtection="1">
      <alignment horizontal="center" vertical="center"/>
      <protection hidden="1"/>
    </xf>
    <xf numFmtId="0" fontId="26" fillId="25" borderId="89" xfId="0" applyFont="1" applyFill="1" applyBorder="1" applyAlignment="1" applyProtection="1">
      <alignment horizontal="center" vertical="center" shrinkToFit="1"/>
      <protection hidden="1"/>
    </xf>
    <xf numFmtId="0" fontId="26" fillId="25" borderId="42" xfId="0" applyFont="1" applyFill="1" applyBorder="1" applyAlignment="1" applyProtection="1">
      <alignment horizontal="center" vertical="center" shrinkToFit="1"/>
      <protection hidden="1"/>
    </xf>
    <xf numFmtId="0" fontId="26" fillId="23" borderId="63" xfId="0" applyFont="1" applyFill="1" applyBorder="1" applyAlignment="1" applyProtection="1">
      <alignment horizontal="right" vertical="center" shrinkToFit="1"/>
      <protection hidden="1"/>
    </xf>
    <xf numFmtId="0" fontId="26" fillId="23" borderId="67" xfId="0" applyFont="1" applyFill="1" applyBorder="1" applyAlignment="1" applyProtection="1">
      <alignment horizontal="right" vertical="center" shrinkToFit="1"/>
      <protection hidden="1"/>
    </xf>
    <xf numFmtId="0" fontId="26" fillId="23" borderId="66" xfId="0" applyFont="1" applyFill="1" applyBorder="1" applyAlignment="1" applyProtection="1">
      <alignment horizontal="right" vertical="center" shrinkToFit="1"/>
      <protection hidden="1"/>
    </xf>
    <xf numFmtId="0" fontId="26" fillId="23" borderId="43" xfId="0" applyFont="1" applyFill="1" applyBorder="1" applyAlignment="1" applyProtection="1">
      <alignment horizontal="right" vertical="center" shrinkToFit="1"/>
      <protection hidden="1"/>
    </xf>
    <xf numFmtId="0" fontId="26" fillId="23" borderId="44" xfId="0" applyFont="1" applyFill="1" applyBorder="1" applyAlignment="1" applyProtection="1">
      <alignment horizontal="right" vertical="center" shrinkToFit="1"/>
      <protection hidden="1"/>
    </xf>
    <xf numFmtId="0" fontId="26" fillId="23" borderId="47" xfId="0" applyFont="1" applyFill="1" applyBorder="1" applyAlignment="1" applyProtection="1">
      <alignment horizontal="right" vertical="center" shrinkToFit="1"/>
      <protection hidden="1"/>
    </xf>
    <xf numFmtId="0" fontId="26" fillId="25" borderId="94" xfId="0" applyFont="1" applyFill="1" applyBorder="1" applyAlignment="1" applyProtection="1">
      <alignment horizontal="center" vertical="center"/>
      <protection hidden="1"/>
    </xf>
    <xf numFmtId="0" fontId="26" fillId="25" borderId="95" xfId="0" applyFont="1" applyFill="1" applyBorder="1" applyAlignment="1" applyProtection="1">
      <alignment horizontal="center" vertical="center"/>
      <protection hidden="1"/>
    </xf>
    <xf numFmtId="0" fontId="26" fillId="25" borderId="96" xfId="0" applyFont="1" applyFill="1" applyBorder="1" applyAlignment="1" applyProtection="1">
      <alignment horizontal="center" vertical="center"/>
      <protection hidden="1"/>
    </xf>
    <xf numFmtId="0" fontId="26" fillId="23" borderId="52" xfId="0" applyFont="1" applyFill="1" applyBorder="1" applyAlignment="1" applyProtection="1">
      <alignment horizontal="center" vertical="center" shrinkToFit="1"/>
      <protection hidden="1"/>
    </xf>
    <xf numFmtId="0" fontId="26" fillId="23" borderId="88" xfId="0" applyFont="1" applyFill="1" applyBorder="1" applyAlignment="1" applyProtection="1">
      <alignment horizontal="center" vertical="center" shrinkToFit="1"/>
      <protection hidden="1"/>
    </xf>
    <xf numFmtId="0" fontId="26" fillId="23" borderId="62" xfId="0" applyFont="1" applyFill="1" applyBorder="1" applyAlignment="1" applyProtection="1">
      <alignment horizontal="center" vertical="center" shrinkToFit="1"/>
      <protection hidden="1"/>
    </xf>
    <xf numFmtId="0" fontId="26" fillId="23" borderId="35" xfId="0" applyFont="1" applyFill="1" applyBorder="1" applyAlignment="1" applyProtection="1">
      <alignment horizontal="right" vertical="center" shrinkToFit="1"/>
      <protection hidden="1"/>
    </xf>
    <xf numFmtId="0" fontId="26" fillId="23" borderId="56" xfId="0" applyFont="1" applyFill="1" applyBorder="1" applyAlignment="1" applyProtection="1">
      <alignment horizontal="right" vertical="center" shrinkToFit="1"/>
      <protection hidden="1"/>
    </xf>
    <xf numFmtId="0" fontId="26" fillId="23" borderId="36" xfId="0" applyFont="1" applyFill="1" applyBorder="1" applyAlignment="1" applyProtection="1">
      <alignment horizontal="center" vertical="center" shrinkToFit="1"/>
      <protection hidden="1"/>
    </xf>
    <xf numFmtId="0" fontId="26" fillId="23" borderId="18" xfId="0" applyFont="1" applyFill="1" applyBorder="1" applyAlignment="1" applyProtection="1">
      <alignment horizontal="center" vertical="center" shrinkToFit="1"/>
      <protection hidden="1"/>
    </xf>
    <xf numFmtId="0" fontId="26" fillId="22" borderId="43" xfId="0" applyFont="1" applyFill="1" applyBorder="1" applyAlignment="1" applyProtection="1">
      <alignment horizontal="right" vertical="center" shrinkToFit="1"/>
      <protection hidden="1"/>
    </xf>
    <xf numFmtId="0" fontId="26" fillId="22" borderId="44" xfId="0" applyFont="1" applyFill="1" applyBorder="1" applyAlignment="1" applyProtection="1">
      <alignment horizontal="right" vertical="center" shrinkToFit="1"/>
      <protection hidden="1"/>
    </xf>
    <xf numFmtId="0" fontId="26" fillId="4" borderId="45" xfId="0" applyFont="1" applyFill="1" applyBorder="1" applyAlignment="1" applyProtection="1">
      <alignment horizontal="right" vertical="center" shrinkToFit="1"/>
      <protection hidden="1"/>
    </xf>
    <xf numFmtId="0" fontId="26" fillId="4" borderId="46" xfId="0" applyFont="1" applyFill="1" applyBorder="1" applyAlignment="1" applyProtection="1">
      <alignment horizontal="right" vertical="center" shrinkToFit="1"/>
      <protection hidden="1"/>
    </xf>
    <xf numFmtId="9" fontId="36" fillId="11" borderId="35" xfId="0" applyNumberFormat="1" applyFont="1" applyFill="1" applyBorder="1" applyAlignment="1" applyProtection="1">
      <alignment horizontal="center" vertical="center" shrinkToFit="1"/>
      <protection hidden="1"/>
    </xf>
    <xf numFmtId="9" fontId="36" fillId="11" borderId="21" xfId="0" applyNumberFormat="1" applyFont="1" applyFill="1" applyBorder="1" applyAlignment="1" applyProtection="1">
      <alignment horizontal="center" vertical="center" shrinkToFit="1"/>
      <protection hidden="1"/>
    </xf>
    <xf numFmtId="0" fontId="26" fillId="22" borderId="41" xfId="0" applyFont="1" applyFill="1" applyBorder="1" applyAlignment="1" applyProtection="1">
      <alignment horizontal="center" vertical="center" shrinkToFit="1"/>
      <protection hidden="1"/>
    </xf>
    <xf numFmtId="0" fontId="26" fillId="22" borderId="49" xfId="0" applyFont="1" applyFill="1" applyBorder="1" applyAlignment="1" applyProtection="1">
      <alignment horizontal="center" vertical="center" shrinkToFit="1"/>
      <protection hidden="1"/>
    </xf>
    <xf numFmtId="0" fontId="26" fillId="22" borderId="43" xfId="0" applyFont="1" applyFill="1" applyBorder="1" applyAlignment="1" applyProtection="1">
      <alignment horizontal="center" vertical="center" shrinkToFit="1"/>
      <protection hidden="1"/>
    </xf>
    <xf numFmtId="0" fontId="26" fillId="22" borderId="44" xfId="0" applyFont="1" applyFill="1" applyBorder="1" applyAlignment="1" applyProtection="1">
      <alignment horizontal="center" vertical="center" shrinkToFit="1"/>
      <protection hidden="1"/>
    </xf>
    <xf numFmtId="0" fontId="26" fillId="22" borderId="45" xfId="0" applyFont="1" applyFill="1" applyBorder="1" applyAlignment="1" applyProtection="1">
      <alignment horizontal="center" vertical="center" shrinkToFit="1"/>
      <protection hidden="1"/>
    </xf>
    <xf numFmtId="0" fontId="26" fillId="22" borderId="46" xfId="0" applyFont="1" applyFill="1" applyBorder="1" applyAlignment="1" applyProtection="1">
      <alignment horizontal="center" vertical="center" shrinkToFit="1"/>
      <protection hidden="1"/>
    </xf>
    <xf numFmtId="0" fontId="67" fillId="25" borderId="17" xfId="0" applyFont="1" applyFill="1" applyBorder="1" applyAlignment="1" applyProtection="1">
      <alignment horizontal="center" vertical="center"/>
      <protection hidden="1"/>
    </xf>
    <xf numFmtId="0" fontId="67" fillId="25" borderId="40" xfId="0" applyFont="1" applyFill="1" applyBorder="1" applyAlignment="1" applyProtection="1">
      <alignment horizontal="center" vertical="center"/>
      <protection hidden="1"/>
    </xf>
    <xf numFmtId="0" fontId="67" fillId="25" borderId="27" xfId="0" applyFont="1" applyFill="1" applyBorder="1" applyAlignment="1" applyProtection="1">
      <alignment horizontal="center" vertical="center"/>
      <protection hidden="1"/>
    </xf>
    <xf numFmtId="0" fontId="71" fillId="17" borderId="35" xfId="0" applyFont="1" applyFill="1" applyBorder="1" applyAlignment="1" applyProtection="1">
      <alignment horizontal="center" vertical="center" shrinkToFit="1"/>
      <protection hidden="1"/>
    </xf>
    <xf numFmtId="0" fontId="71" fillId="17" borderId="21" xfId="0" applyFont="1" applyFill="1" applyBorder="1" applyAlignment="1" applyProtection="1">
      <alignment horizontal="center" vertical="center" shrinkToFit="1"/>
      <protection hidden="1"/>
    </xf>
    <xf numFmtId="0" fontId="34" fillId="17" borderId="175" xfId="0" applyFont="1" applyFill="1" applyBorder="1" applyAlignment="1" applyProtection="1">
      <alignment horizontal="center" vertical="center" shrinkToFit="1"/>
      <protection hidden="1"/>
    </xf>
    <xf numFmtId="0" fontId="34" fillId="17" borderId="90" xfId="0" applyFont="1" applyFill="1" applyBorder="1" applyAlignment="1" applyProtection="1">
      <alignment horizontal="center" vertical="center" shrinkToFit="1"/>
      <protection hidden="1"/>
    </xf>
    <xf numFmtId="0" fontId="34" fillId="17" borderId="174" xfId="0" applyFont="1" applyFill="1" applyBorder="1" applyAlignment="1" applyProtection="1">
      <alignment horizontal="center" vertical="center" shrinkToFit="1"/>
      <protection hidden="1"/>
    </xf>
    <xf numFmtId="0" fontId="34" fillId="17" borderId="55" xfId="0" applyFont="1" applyFill="1" applyBorder="1" applyAlignment="1" applyProtection="1">
      <alignment horizontal="center" vertical="center" shrinkToFit="1"/>
      <protection hidden="1"/>
    </xf>
    <xf numFmtId="0" fontId="26" fillId="22" borderId="92" xfId="0" applyFont="1" applyFill="1" applyBorder="1" applyAlignment="1" applyProtection="1">
      <alignment horizontal="right" vertical="center" shrinkToFit="1"/>
      <protection hidden="1"/>
    </xf>
    <xf numFmtId="0" fontId="26" fillId="22" borderId="89" xfId="0" applyFont="1" applyFill="1" applyBorder="1" applyAlignment="1" applyProtection="1">
      <alignment horizontal="right" vertical="center" shrinkToFit="1"/>
      <protection hidden="1"/>
    </xf>
    <xf numFmtId="0" fontId="26" fillId="23" borderId="54" xfId="0" applyFont="1" applyFill="1" applyBorder="1" applyAlignment="1" applyProtection="1">
      <alignment horizontal="center" vertical="center" shrinkToFit="1"/>
      <protection hidden="1"/>
    </xf>
    <xf numFmtId="0" fontId="26" fillId="23" borderId="43" xfId="0" applyFont="1" applyFill="1" applyBorder="1" applyAlignment="1" applyProtection="1">
      <alignment horizontal="center" vertical="center" shrinkToFit="1"/>
      <protection hidden="1"/>
    </xf>
    <xf numFmtId="0" fontId="26" fillId="23" borderId="45" xfId="0" applyFont="1" applyFill="1" applyBorder="1" applyAlignment="1" applyProtection="1">
      <alignment horizontal="center" vertical="center" shrinkToFit="1"/>
      <protection hidden="1"/>
    </xf>
    <xf numFmtId="0" fontId="26" fillId="23" borderId="45" xfId="0" applyFont="1" applyFill="1" applyBorder="1" applyAlignment="1" applyProtection="1">
      <alignment horizontal="right" vertical="center" shrinkToFit="1"/>
      <protection hidden="1"/>
    </xf>
    <xf numFmtId="0" fontId="26" fillId="23" borderId="46" xfId="0" applyFont="1" applyFill="1" applyBorder="1" applyAlignment="1" applyProtection="1">
      <alignment horizontal="right" vertical="center" shrinkToFit="1"/>
      <protection hidden="1"/>
    </xf>
    <xf numFmtId="0" fontId="26" fillId="23" borderId="48" xfId="0" applyFont="1" applyFill="1" applyBorder="1" applyAlignment="1" applyProtection="1">
      <alignment horizontal="right" vertical="center" shrinkToFit="1"/>
      <protection hidden="1"/>
    </xf>
    <xf numFmtId="166" fontId="105" fillId="11" borderId="38" xfId="0" applyNumberFormat="1" applyFont="1" applyFill="1" applyBorder="1" applyAlignment="1" applyProtection="1">
      <alignment horizontal="center" vertical="center" shrinkToFit="1"/>
      <protection hidden="1"/>
    </xf>
    <xf numFmtId="166" fontId="105" fillId="11" borderId="65" xfId="0" applyNumberFormat="1" applyFont="1" applyFill="1" applyBorder="1" applyAlignment="1" applyProtection="1">
      <alignment horizontal="center" vertical="center" shrinkToFit="1"/>
      <protection hidden="1"/>
    </xf>
    <xf numFmtId="0" fontId="26" fillId="25" borderId="92" xfId="0" applyFont="1" applyFill="1" applyBorder="1" applyAlignment="1" applyProtection="1">
      <alignment horizontal="center" vertical="center" shrinkToFit="1"/>
      <protection hidden="1"/>
    </xf>
    <xf numFmtId="0" fontId="26" fillId="25" borderId="91" xfId="0" applyFont="1" applyFill="1" applyBorder="1" applyAlignment="1" applyProtection="1">
      <alignment horizontal="center" vertical="center" shrinkToFit="1"/>
      <protection hidden="1"/>
    </xf>
    <xf numFmtId="0" fontId="26" fillId="22" borderId="175" xfId="0" applyFont="1" applyFill="1" applyBorder="1" applyAlignment="1" applyProtection="1">
      <alignment horizontal="center" vertical="center"/>
      <protection hidden="1"/>
    </xf>
    <xf numFmtId="0" fontId="26" fillId="22" borderId="90" xfId="0" applyFont="1" applyFill="1" applyBorder="1" applyAlignment="1" applyProtection="1">
      <alignment horizontal="center" vertical="center"/>
      <protection hidden="1"/>
    </xf>
    <xf numFmtId="0" fontId="26" fillId="22" borderId="173" xfId="0" applyFont="1" applyFill="1" applyBorder="1" applyAlignment="1" applyProtection="1">
      <alignment horizontal="center" vertical="center"/>
      <protection hidden="1"/>
    </xf>
    <xf numFmtId="0" fontId="26" fillId="22" borderId="160" xfId="0" applyFont="1" applyFill="1" applyBorder="1" applyAlignment="1" applyProtection="1">
      <alignment horizontal="center" vertical="center"/>
      <protection hidden="1"/>
    </xf>
    <xf numFmtId="0" fontId="26" fillId="22" borderId="170" xfId="0" applyFont="1" applyFill="1" applyBorder="1" applyAlignment="1" applyProtection="1">
      <alignment horizontal="center" vertical="center"/>
      <protection hidden="1"/>
    </xf>
    <xf numFmtId="0" fontId="26" fillId="22" borderId="161" xfId="0" applyFont="1" applyFill="1" applyBorder="1" applyAlignment="1" applyProtection="1">
      <alignment horizontal="center" vertical="center"/>
      <protection hidden="1"/>
    </xf>
    <xf numFmtId="0" fontId="28" fillId="0" borderId="44" xfId="0" applyFont="1" applyBorder="1" applyAlignment="1" applyProtection="1">
      <alignment horizontal="center" vertical="center"/>
      <protection locked="0" hidden="1"/>
    </xf>
    <xf numFmtId="0" fontId="45" fillId="0" borderId="53" xfId="28" applyFont="1" applyBorder="1" applyProtection="1">
      <alignment horizontal="center" vertical="center" shrinkToFit="1"/>
      <protection locked="0" hidden="1"/>
    </xf>
    <xf numFmtId="0" fontId="45" fillId="0" borderId="139" xfId="28" applyFont="1" applyBorder="1" applyProtection="1">
      <alignment horizontal="center" vertical="center" shrinkToFit="1"/>
      <protection locked="0" hidden="1"/>
    </xf>
    <xf numFmtId="0" fontId="45" fillId="0" borderId="66" xfId="28" applyFont="1" applyBorder="1" applyProtection="1">
      <alignment horizontal="center" vertical="center" shrinkToFit="1"/>
      <protection locked="0" hidden="1"/>
    </xf>
    <xf numFmtId="0" fontId="45" fillId="0" borderId="142" xfId="28" applyFont="1" applyBorder="1" applyProtection="1">
      <alignment horizontal="center" vertical="center" shrinkToFit="1"/>
      <protection locked="0" hidden="1"/>
    </xf>
    <xf numFmtId="0" fontId="15" fillId="5" borderId="44" xfId="0" applyFont="1" applyFill="1" applyBorder="1" applyAlignment="1" applyProtection="1">
      <alignment horizontal="center" vertical="center" shrinkToFit="1"/>
      <protection locked="0" hidden="1"/>
    </xf>
    <xf numFmtId="0" fontId="17" fillId="22" borderId="44" xfId="28" applyFont="1" applyFill="1" applyBorder="1" applyProtection="1">
      <alignment horizontal="center" vertical="center" shrinkToFit="1"/>
      <protection locked="0" hidden="1"/>
    </xf>
    <xf numFmtId="0" fontId="53" fillId="22" borderId="44" xfId="28" applyFont="1" applyFill="1" applyBorder="1" applyProtection="1">
      <alignment horizontal="center" vertical="center" shrinkToFit="1"/>
      <protection hidden="1"/>
    </xf>
    <xf numFmtId="0" fontId="26" fillId="22" borderId="44" xfId="39" applyFont="1" applyFill="1" applyBorder="1" applyProtection="1">
      <alignment horizontal="center" vertical="center" shrinkToFit="1"/>
      <protection hidden="1"/>
    </xf>
    <xf numFmtId="0" fontId="15" fillId="5" borderId="44" xfId="39" applyFont="1" applyFill="1" applyBorder="1" applyProtection="1">
      <alignment horizontal="center" vertical="center" shrinkToFit="1"/>
      <protection hidden="1"/>
    </xf>
    <xf numFmtId="9" fontId="28" fillId="0" borderId="44" xfId="30" applyNumberFormat="1" applyFont="1" applyBorder="1" applyAlignment="1" applyProtection="1">
      <alignment horizontal="center" vertical="center" shrinkToFit="1"/>
      <protection locked="0" hidden="1"/>
    </xf>
    <xf numFmtId="0" fontId="45" fillId="0" borderId="44" xfId="0" applyFont="1" applyBorder="1" applyAlignment="1" applyProtection="1">
      <alignment horizontal="center" vertical="center"/>
      <protection hidden="1"/>
    </xf>
    <xf numFmtId="0" fontId="45" fillId="11" borderId="44" xfId="28" applyFont="1" applyFill="1" applyBorder="1" applyProtection="1">
      <alignment horizontal="center" vertical="center" shrinkToFit="1"/>
      <protection hidden="1"/>
    </xf>
    <xf numFmtId="0" fontId="65" fillId="0" borderId="44" xfId="0" applyFont="1" applyBorder="1" applyAlignment="1" applyProtection="1">
      <alignment horizontal="center" vertical="center"/>
      <protection hidden="1"/>
    </xf>
    <xf numFmtId="0" fontId="123" fillId="15" borderId="44" xfId="0" applyFont="1" applyFill="1" applyBorder="1" applyAlignment="1" applyProtection="1">
      <alignment horizontal="center" vertical="center"/>
      <protection hidden="1"/>
    </xf>
    <xf numFmtId="0" fontId="123" fillId="15" borderId="3" xfId="0" applyFont="1" applyFill="1" applyBorder="1" applyAlignment="1" applyProtection="1">
      <alignment horizontal="center" vertical="center"/>
      <protection hidden="1"/>
    </xf>
    <xf numFmtId="0" fontId="123" fillId="15" borderId="67" xfId="0" applyFont="1" applyFill="1" applyBorder="1" applyAlignment="1" applyProtection="1">
      <alignment horizontal="center" vertical="center"/>
      <protection hidden="1"/>
    </xf>
    <xf numFmtId="9" fontId="12" fillId="22" borderId="44" xfId="40" applyFont="1" applyFill="1" applyBorder="1" applyAlignment="1" applyProtection="1">
      <alignment horizontal="center" vertical="center" shrinkToFit="1"/>
      <protection hidden="1"/>
    </xf>
    <xf numFmtId="9" fontId="12" fillId="22" borderId="51" xfId="40" applyFont="1" applyFill="1" applyBorder="1" applyAlignment="1" applyProtection="1">
      <alignment horizontal="center" vertical="center" shrinkToFit="1"/>
      <protection hidden="1"/>
    </xf>
    <xf numFmtId="9" fontId="27" fillId="5" borderId="46" xfId="40" applyFont="1" applyFill="1" applyBorder="1" applyAlignment="1" applyProtection="1">
      <alignment horizontal="left" vertical="center" shrinkToFit="1"/>
      <protection hidden="1"/>
    </xf>
    <xf numFmtId="9" fontId="27" fillId="5" borderId="60" xfId="40" applyFont="1" applyFill="1" applyBorder="1" applyAlignment="1" applyProtection="1">
      <alignment horizontal="left" vertical="center" shrinkToFit="1"/>
      <protection hidden="1"/>
    </xf>
    <xf numFmtId="0" fontId="15" fillId="5" borderId="61" xfId="39" applyFont="1" applyFill="1" applyBorder="1" applyProtection="1">
      <alignment horizontal="center" vertical="center" shrinkToFit="1"/>
      <protection hidden="1"/>
    </xf>
    <xf numFmtId="3" fontId="24" fillId="5" borderId="0" xfId="40" applyNumberFormat="1" applyFont="1" applyFill="1" applyBorder="1" applyAlignment="1" applyProtection="1">
      <alignment horizontal="left" vertical="center" shrinkToFit="1"/>
      <protection hidden="1"/>
    </xf>
    <xf numFmtId="9" fontId="27" fillId="11" borderId="44" xfId="40" applyFont="1" applyFill="1" applyBorder="1" applyAlignment="1" applyProtection="1">
      <alignment horizontal="left" vertical="center" shrinkToFit="1"/>
      <protection hidden="1"/>
    </xf>
    <xf numFmtId="9" fontId="27" fillId="11" borderId="67" xfId="40" applyFont="1" applyFill="1" applyBorder="1" applyAlignment="1" applyProtection="1">
      <alignment horizontal="center" vertical="center" shrinkToFit="1"/>
      <protection hidden="1"/>
    </xf>
    <xf numFmtId="9" fontId="27" fillId="11" borderId="64" xfId="40" applyFont="1" applyFill="1" applyBorder="1" applyAlignment="1" applyProtection="1">
      <alignment horizontal="center" vertical="center" shrinkToFit="1"/>
      <protection hidden="1"/>
    </xf>
    <xf numFmtId="3" fontId="15" fillId="5" borderId="52" xfId="39" applyNumberFormat="1" applyFont="1" applyFill="1" applyBorder="1" applyProtection="1">
      <alignment horizontal="center" vertical="center" shrinkToFit="1"/>
      <protection hidden="1"/>
    </xf>
    <xf numFmtId="3" fontId="15" fillId="5" borderId="88" xfId="39" applyNumberFormat="1" applyFont="1" applyFill="1" applyBorder="1" applyProtection="1">
      <alignment horizontal="center" vertical="center" shrinkToFit="1"/>
      <protection hidden="1"/>
    </xf>
    <xf numFmtId="3" fontId="15" fillId="5" borderId="63" xfId="39" applyNumberFormat="1" applyFont="1" applyFill="1" applyBorder="1" applyProtection="1">
      <alignment horizontal="center" vertical="center" shrinkToFit="1"/>
      <protection hidden="1"/>
    </xf>
    <xf numFmtId="9" fontId="27" fillId="5" borderId="44" xfId="40" applyFont="1" applyFill="1" applyBorder="1" applyAlignment="1" applyProtection="1">
      <alignment horizontal="left" vertical="center" shrinkToFit="1"/>
      <protection hidden="1"/>
    </xf>
    <xf numFmtId="9" fontId="27" fillId="5" borderId="3" xfId="40" applyFont="1" applyFill="1" applyBorder="1" applyAlignment="1" applyProtection="1">
      <alignment horizontal="center" vertical="center" shrinkToFit="1"/>
      <protection hidden="1"/>
    </xf>
    <xf numFmtId="9" fontId="27" fillId="5" borderId="39" xfId="40" applyFont="1" applyFill="1" applyBorder="1" applyAlignment="1" applyProtection="1">
      <alignment horizontal="center" vertical="center" shrinkToFit="1"/>
      <protection hidden="1"/>
    </xf>
    <xf numFmtId="9" fontId="27" fillId="5" borderId="2" xfId="40" applyFont="1" applyFill="1" applyBorder="1" applyAlignment="1" applyProtection="1">
      <alignment horizontal="center" vertical="center" shrinkToFit="1"/>
      <protection hidden="1"/>
    </xf>
    <xf numFmtId="9" fontId="27" fillId="5" borderId="38" xfId="40" applyFont="1" applyFill="1" applyBorder="1" applyAlignment="1" applyProtection="1">
      <alignment horizontal="center" vertical="center" shrinkToFit="1"/>
      <protection hidden="1"/>
    </xf>
    <xf numFmtId="9" fontId="27" fillId="5" borderId="67" xfId="40" applyFont="1" applyFill="1" applyBorder="1" applyAlignment="1" applyProtection="1">
      <alignment horizontal="center" vertical="center" shrinkToFit="1"/>
      <protection hidden="1"/>
    </xf>
    <xf numFmtId="9" fontId="27" fillId="5" borderId="64" xfId="40" applyFont="1" applyFill="1" applyBorder="1" applyAlignment="1" applyProtection="1">
      <alignment horizontal="center" vertical="center" shrinkToFit="1"/>
      <protection hidden="1"/>
    </xf>
    <xf numFmtId="3" fontId="15" fillId="11" borderId="52" xfId="39" applyNumberFormat="1" applyFont="1" applyFill="1" applyBorder="1" applyProtection="1">
      <alignment horizontal="center" vertical="center" shrinkToFit="1"/>
      <protection hidden="1"/>
    </xf>
    <xf numFmtId="3" fontId="15" fillId="11" borderId="88" xfId="39" applyNumberFormat="1" applyFont="1" applyFill="1" applyBorder="1" applyProtection="1">
      <alignment horizontal="center" vertical="center" shrinkToFit="1"/>
      <protection hidden="1"/>
    </xf>
    <xf numFmtId="3" fontId="15" fillId="11" borderId="63" xfId="39" applyNumberFormat="1" applyFont="1" applyFill="1" applyBorder="1" applyProtection="1">
      <alignment horizontal="center" vertical="center" shrinkToFit="1"/>
      <protection hidden="1"/>
    </xf>
    <xf numFmtId="9" fontId="27" fillId="11" borderId="3" xfId="40" applyFont="1" applyFill="1" applyBorder="1" applyAlignment="1" applyProtection="1">
      <alignment horizontal="center" vertical="center" shrinkToFit="1"/>
      <protection hidden="1"/>
    </xf>
    <xf numFmtId="9" fontId="27" fillId="11" borderId="39" xfId="40" applyFont="1" applyFill="1" applyBorder="1" applyAlignment="1" applyProtection="1">
      <alignment horizontal="center" vertical="center" shrinkToFit="1"/>
      <protection hidden="1"/>
    </xf>
    <xf numFmtId="9" fontId="27" fillId="11" borderId="2" xfId="40" applyFont="1" applyFill="1" applyBorder="1" applyAlignment="1" applyProtection="1">
      <alignment horizontal="center" vertical="center" shrinkToFit="1"/>
      <protection hidden="1"/>
    </xf>
    <xf numFmtId="9" fontId="27" fillId="11" borderId="38" xfId="40" applyFont="1" applyFill="1" applyBorder="1" applyAlignment="1" applyProtection="1">
      <alignment horizontal="center" vertical="center" shrinkToFit="1"/>
      <protection hidden="1"/>
    </xf>
    <xf numFmtId="9" fontId="12" fillId="15" borderId="44" xfId="40" applyFont="1" applyFill="1" applyBorder="1" applyAlignment="1" applyProtection="1">
      <alignment horizontal="center" vertical="center" shrinkToFit="1"/>
      <protection hidden="1"/>
    </xf>
    <xf numFmtId="9" fontId="12" fillId="15" borderId="51" xfId="40" applyFont="1" applyFill="1" applyBorder="1" applyAlignment="1" applyProtection="1">
      <alignment horizontal="center" vertical="center" shrinkToFit="1"/>
      <protection hidden="1"/>
    </xf>
    <xf numFmtId="0" fontId="27" fillId="11" borderId="44" xfId="40" applyNumberFormat="1" applyFont="1" applyFill="1" applyBorder="1" applyAlignment="1" applyProtection="1">
      <alignment horizontal="left" vertical="center" shrinkToFit="1"/>
      <protection hidden="1"/>
    </xf>
    <xf numFmtId="0" fontId="27" fillId="11" borderId="51" xfId="40" applyNumberFormat="1" applyFont="1" applyFill="1" applyBorder="1" applyAlignment="1" applyProtection="1">
      <alignment horizontal="left" vertical="center" shrinkToFit="1"/>
      <protection hidden="1"/>
    </xf>
    <xf numFmtId="0" fontId="27" fillId="5" borderId="44" xfId="40" applyNumberFormat="1" applyFont="1" applyFill="1" applyBorder="1" applyAlignment="1" applyProtection="1">
      <alignment horizontal="center" vertical="center" shrinkToFit="1"/>
      <protection hidden="1"/>
    </xf>
    <xf numFmtId="3" fontId="27" fillId="5" borderId="44" xfId="40" applyNumberFormat="1" applyFont="1" applyFill="1" applyBorder="1" applyAlignment="1" applyProtection="1">
      <alignment horizontal="center" vertical="center" shrinkToFit="1"/>
      <protection hidden="1"/>
    </xf>
    <xf numFmtId="3" fontId="27" fillId="5" borderId="51" xfId="40" applyNumberFormat="1" applyFont="1" applyFill="1" applyBorder="1" applyAlignment="1" applyProtection="1">
      <alignment horizontal="center" vertical="center" shrinkToFit="1"/>
      <protection hidden="1"/>
    </xf>
    <xf numFmtId="9" fontId="12" fillId="22" borderId="44" xfId="39" applyNumberFormat="1" applyFont="1" applyFill="1" applyBorder="1" applyProtection="1">
      <alignment horizontal="center" vertical="center" shrinkToFit="1"/>
      <protection hidden="1"/>
    </xf>
    <xf numFmtId="9" fontId="12" fillId="22" borderId="51" xfId="39" applyNumberFormat="1" applyFont="1" applyFill="1" applyBorder="1" applyProtection="1">
      <alignment horizontal="center" vertical="center" shrinkToFit="1"/>
      <protection hidden="1"/>
    </xf>
    <xf numFmtId="3" fontId="15" fillId="7" borderId="52" xfId="39" applyNumberFormat="1" applyFont="1" applyFill="1" applyBorder="1" applyAlignment="1" applyProtection="1">
      <alignment horizontal="left" vertical="center" shrinkToFit="1"/>
      <protection hidden="1"/>
    </xf>
    <xf numFmtId="3" fontId="15" fillId="7" borderId="88" xfId="39" applyNumberFormat="1" applyFont="1" applyFill="1" applyBorder="1" applyAlignment="1" applyProtection="1">
      <alignment horizontal="left" vertical="center" shrinkToFit="1"/>
      <protection hidden="1"/>
    </xf>
    <xf numFmtId="0" fontId="27" fillId="0" borderId="44" xfId="39" applyFont="1" applyBorder="1" applyAlignment="1" applyProtection="1">
      <alignment horizontal="left" vertical="center" shrinkToFit="1"/>
      <protection hidden="1"/>
    </xf>
    <xf numFmtId="0" fontId="27" fillId="0" borderId="51" xfId="39" applyFont="1" applyBorder="1" applyAlignment="1" applyProtection="1">
      <alignment horizontal="left" vertical="center" shrinkToFit="1"/>
      <protection hidden="1"/>
    </xf>
    <xf numFmtId="174" fontId="27" fillId="5" borderId="44" xfId="40" applyNumberFormat="1" applyFont="1" applyFill="1" applyBorder="1" applyAlignment="1" applyProtection="1">
      <alignment horizontal="left" vertical="center" shrinkToFit="1"/>
      <protection hidden="1"/>
    </xf>
    <xf numFmtId="174" fontId="27" fillId="5" borderId="51" xfId="40" applyNumberFormat="1" applyFont="1" applyFill="1" applyBorder="1" applyAlignment="1" applyProtection="1">
      <alignment horizontal="left" vertical="center" shrinkToFit="1"/>
      <protection hidden="1"/>
    </xf>
    <xf numFmtId="174" fontId="27" fillId="5" borderId="47" xfId="40" applyNumberFormat="1" applyFont="1" applyFill="1" applyBorder="1" applyAlignment="1" applyProtection="1">
      <alignment horizontal="left" vertical="center" shrinkToFit="1"/>
      <protection hidden="1"/>
    </xf>
    <xf numFmtId="174" fontId="27" fillId="5" borderId="21" xfId="40" applyNumberFormat="1" applyFont="1" applyFill="1" applyBorder="1" applyAlignment="1" applyProtection="1">
      <alignment horizontal="left" vertical="center" shrinkToFit="1"/>
      <protection hidden="1"/>
    </xf>
    <xf numFmtId="10" fontId="12" fillId="22" borderId="44" xfId="40" applyNumberFormat="1" applyFont="1" applyFill="1" applyBorder="1" applyAlignment="1" applyProtection="1">
      <alignment horizontal="center" vertical="center" shrinkToFit="1"/>
      <protection hidden="1"/>
    </xf>
    <xf numFmtId="10" fontId="12" fillId="22" borderId="51" xfId="40" applyNumberFormat="1" applyFont="1" applyFill="1" applyBorder="1" applyAlignment="1" applyProtection="1">
      <alignment horizontal="center" vertical="center" shrinkToFit="1"/>
      <protection hidden="1"/>
    </xf>
    <xf numFmtId="10" fontId="27" fillId="5" borderId="44" xfId="40" applyNumberFormat="1" applyFont="1" applyFill="1" applyBorder="1" applyAlignment="1" applyProtection="1">
      <alignment horizontal="center" vertical="center" shrinkToFit="1"/>
      <protection hidden="1"/>
    </xf>
    <xf numFmtId="10" fontId="27" fillId="5" borderId="51" xfId="40" applyNumberFormat="1" applyFont="1" applyFill="1" applyBorder="1" applyAlignment="1" applyProtection="1">
      <alignment horizontal="center" vertical="center" shrinkToFit="1"/>
      <protection hidden="1"/>
    </xf>
    <xf numFmtId="3" fontId="27" fillId="11" borderId="44" xfId="40" applyNumberFormat="1" applyFont="1" applyFill="1" applyBorder="1" applyAlignment="1" applyProtection="1">
      <alignment horizontal="center" vertical="center" shrinkToFit="1"/>
      <protection hidden="1"/>
    </xf>
    <xf numFmtId="3" fontId="27" fillId="11" borderId="51" xfId="40" applyNumberFormat="1" applyFont="1" applyFill="1" applyBorder="1" applyAlignment="1" applyProtection="1">
      <alignment horizontal="center" vertical="center" shrinkToFit="1"/>
      <protection hidden="1"/>
    </xf>
    <xf numFmtId="0" fontId="15" fillId="7" borderId="52" xfId="39" applyFont="1" applyFill="1" applyBorder="1" applyAlignment="1" applyProtection="1">
      <alignment horizontal="left" vertical="center" wrapText="1"/>
      <protection hidden="1"/>
    </xf>
    <xf numFmtId="0" fontId="15" fillId="7" borderId="88" xfId="39" applyFont="1" applyFill="1" applyBorder="1" applyAlignment="1" applyProtection="1">
      <alignment horizontal="left" vertical="center" wrapText="1"/>
      <protection hidden="1"/>
    </xf>
    <xf numFmtId="0" fontId="26" fillId="15" borderId="44" xfId="39" applyFont="1" applyFill="1" applyBorder="1" applyProtection="1">
      <alignment horizontal="center" vertical="center" shrinkToFit="1"/>
      <protection hidden="1"/>
    </xf>
    <xf numFmtId="0" fontId="26" fillId="15" borderId="51" xfId="39" applyFont="1" applyFill="1" applyBorder="1" applyProtection="1">
      <alignment horizontal="center" vertical="center" shrinkToFit="1"/>
      <protection hidden="1"/>
    </xf>
    <xf numFmtId="0" fontId="71" fillId="21" borderId="92" xfId="39" applyFont="1" applyFill="1" applyBorder="1" applyProtection="1">
      <alignment horizontal="center" vertical="center" shrinkToFit="1"/>
      <protection hidden="1"/>
    </xf>
    <xf numFmtId="0" fontId="71" fillId="21" borderId="89" xfId="39" applyFont="1" applyFill="1" applyBorder="1" applyProtection="1">
      <alignment horizontal="center" vertical="center" shrinkToFit="1"/>
      <protection hidden="1"/>
    </xf>
    <xf numFmtId="0" fontId="71" fillId="21" borderId="91" xfId="39" applyFont="1" applyFill="1" applyBorder="1" applyProtection="1">
      <alignment horizontal="center" vertical="center" shrinkToFit="1"/>
      <protection hidden="1"/>
    </xf>
    <xf numFmtId="0" fontId="15" fillId="7" borderId="52" xfId="39" applyFont="1" applyFill="1" applyBorder="1" applyAlignment="1" applyProtection="1">
      <alignment horizontal="left" vertical="center" shrinkToFit="1"/>
      <protection hidden="1"/>
    </xf>
    <xf numFmtId="0" fontId="15" fillId="7" borderId="88" xfId="39" applyFont="1" applyFill="1" applyBorder="1" applyAlignment="1" applyProtection="1">
      <alignment horizontal="left" vertical="center" shrinkToFit="1"/>
      <protection hidden="1"/>
    </xf>
    <xf numFmtId="9" fontId="27" fillId="5" borderId="44" xfId="40" applyFont="1" applyFill="1" applyBorder="1" applyAlignment="1" applyProtection="1">
      <alignment horizontal="center" vertical="center" shrinkToFit="1"/>
      <protection hidden="1"/>
    </xf>
    <xf numFmtId="9" fontId="27" fillId="5" borderId="51" xfId="40" applyFont="1" applyFill="1" applyBorder="1" applyAlignment="1" applyProtection="1">
      <alignment horizontal="center" vertical="center" shrinkToFit="1"/>
      <protection hidden="1"/>
    </xf>
    <xf numFmtId="0" fontId="15" fillId="5" borderId="44" xfId="0" applyFont="1" applyFill="1" applyBorder="1" applyAlignment="1" applyProtection="1">
      <alignment horizontal="center" vertical="center" shrinkToFit="1"/>
      <protection hidden="1"/>
    </xf>
    <xf numFmtId="0" fontId="34" fillId="22" borderId="128" xfId="0" applyFont="1" applyFill="1" applyBorder="1" applyAlignment="1" applyProtection="1">
      <alignment horizontal="center" vertical="center" shrinkToFit="1"/>
      <protection hidden="1"/>
    </xf>
    <xf numFmtId="0" fontId="15" fillId="5" borderId="68" xfId="0" applyFont="1" applyFill="1" applyBorder="1" applyAlignment="1" applyProtection="1">
      <alignment horizontal="center" vertical="center" shrinkToFit="1"/>
      <protection hidden="1"/>
    </xf>
    <xf numFmtId="0" fontId="12" fillId="15" borderId="131" xfId="0" applyFont="1" applyFill="1" applyBorder="1" applyAlignment="1" applyProtection="1">
      <alignment horizontal="center" vertical="center" shrinkToFit="1"/>
      <protection hidden="1"/>
    </xf>
    <xf numFmtId="0" fontId="12" fillId="15" borderId="132" xfId="0" applyFont="1" applyFill="1" applyBorder="1" applyAlignment="1" applyProtection="1">
      <alignment horizontal="center" vertical="center" shrinkToFit="1"/>
      <protection hidden="1"/>
    </xf>
    <xf numFmtId="0" fontId="28" fillId="7" borderId="56" xfId="21" applyFont="1" applyFill="1" applyBorder="1" applyAlignment="1" applyProtection="1">
      <alignment horizontal="center" vertical="center" shrinkToFit="1"/>
      <protection locked="0" hidden="1"/>
    </xf>
    <xf numFmtId="0" fontId="28" fillId="7" borderId="44" xfId="21" applyFont="1" applyFill="1" applyBorder="1" applyAlignment="1" applyProtection="1">
      <alignment horizontal="center" vertical="center" shrinkToFit="1"/>
      <protection locked="0" hidden="1"/>
    </xf>
    <xf numFmtId="0" fontId="15" fillId="5" borderId="44" xfId="39" applyFont="1" applyFill="1" applyBorder="1" applyProtection="1">
      <alignment horizontal="center" vertical="center" shrinkToFit="1"/>
      <protection locked="0" hidden="1"/>
    </xf>
    <xf numFmtId="0" fontId="28" fillId="0" borderId="56" xfId="0" applyFont="1" applyBorder="1" applyAlignment="1" applyProtection="1">
      <alignment horizontal="center" vertical="center" shrinkToFit="1"/>
      <protection hidden="1"/>
    </xf>
    <xf numFmtId="3" fontId="12" fillId="17" borderId="47" xfId="0" applyNumberFormat="1" applyFont="1" applyFill="1" applyBorder="1" applyAlignment="1" applyProtection="1">
      <alignment horizontal="center" vertical="center" shrinkToFit="1"/>
      <protection locked="0" hidden="1"/>
    </xf>
    <xf numFmtId="3" fontId="12" fillId="17" borderId="57" xfId="0" applyNumberFormat="1" applyFont="1" applyFill="1" applyBorder="1" applyAlignment="1" applyProtection="1">
      <alignment horizontal="center" vertical="center" shrinkToFit="1"/>
      <protection locked="0" hidden="1"/>
    </xf>
    <xf numFmtId="3" fontId="12" fillId="17" borderId="56" xfId="0" applyNumberFormat="1" applyFont="1" applyFill="1" applyBorder="1" applyAlignment="1" applyProtection="1">
      <alignment horizontal="center" vertical="center" shrinkToFit="1"/>
      <protection locked="0" hidden="1"/>
    </xf>
    <xf numFmtId="0" fontId="70" fillId="15" borderId="44" xfId="41" applyFont="1" applyFill="1" applyBorder="1" applyProtection="1">
      <alignment horizontal="center" vertical="center" shrinkToFit="1"/>
      <protection hidden="1"/>
    </xf>
    <xf numFmtId="0" fontId="10" fillId="5" borderId="43" xfId="41" applyFont="1" applyFill="1" applyBorder="1" applyProtection="1">
      <alignment horizontal="center" vertical="center" shrinkToFit="1"/>
      <protection hidden="1"/>
    </xf>
    <xf numFmtId="0" fontId="10" fillId="5" borderId="44" xfId="41" applyFont="1" applyFill="1" applyBorder="1" applyProtection="1">
      <alignment horizontal="center" vertical="center" shrinkToFit="1"/>
      <protection hidden="1"/>
    </xf>
    <xf numFmtId="0" fontId="10" fillId="5" borderId="51" xfId="41" applyFont="1" applyFill="1" applyBorder="1" applyProtection="1">
      <alignment horizontal="center" vertical="center" shrinkToFit="1"/>
      <protection hidden="1"/>
    </xf>
    <xf numFmtId="0" fontId="70" fillId="15" borderId="51" xfId="41" applyFont="1" applyFill="1" applyBorder="1" applyProtection="1">
      <alignment horizontal="center" vertical="center" shrinkToFit="1"/>
      <protection hidden="1"/>
    </xf>
    <xf numFmtId="0" fontId="12" fillId="15" borderId="43" xfId="41" applyFont="1" applyFill="1" applyBorder="1" applyProtection="1">
      <alignment horizontal="center" vertical="center" shrinkToFit="1"/>
      <protection hidden="1"/>
    </xf>
    <xf numFmtId="0" fontId="12" fillId="15" borderId="44" xfId="41" applyFont="1" applyFill="1" applyBorder="1" applyProtection="1">
      <alignment horizontal="center" vertical="center" shrinkToFit="1"/>
      <protection hidden="1"/>
    </xf>
    <xf numFmtId="0" fontId="25" fillId="15" borderId="52" xfId="41" applyFont="1" applyFill="1" applyBorder="1" applyProtection="1">
      <alignment horizontal="center" vertical="center" shrinkToFit="1"/>
      <protection hidden="1"/>
    </xf>
    <xf numFmtId="0" fontId="25" fillId="15" borderId="88" xfId="41" applyFont="1" applyFill="1" applyBorder="1" applyProtection="1">
      <alignment horizontal="center" vertical="center" shrinkToFit="1"/>
      <protection hidden="1"/>
    </xf>
    <xf numFmtId="0" fontId="25" fillId="15" borderId="62" xfId="41" applyFont="1" applyFill="1" applyBorder="1" applyProtection="1">
      <alignment horizontal="center" vertical="center" shrinkToFit="1"/>
      <protection hidden="1"/>
    </xf>
    <xf numFmtId="0" fontId="25" fillId="23" borderId="46" xfId="41" applyFont="1" applyFill="1" applyBorder="1" applyProtection="1">
      <alignment horizontal="center" vertical="center" shrinkToFit="1"/>
      <protection hidden="1"/>
    </xf>
    <xf numFmtId="3" fontId="24" fillId="7" borderId="46" xfId="41" applyNumberFormat="1" applyFont="1" applyFill="1" applyBorder="1" applyProtection="1">
      <alignment horizontal="center" vertical="center" shrinkToFit="1"/>
      <protection hidden="1"/>
    </xf>
    <xf numFmtId="3" fontId="24" fillId="7" borderId="60" xfId="41" applyNumberFormat="1" applyFont="1" applyFill="1" applyBorder="1" applyProtection="1">
      <alignment horizontal="center" vertical="center" shrinkToFit="1"/>
      <protection hidden="1"/>
    </xf>
    <xf numFmtId="0" fontId="25" fillId="23" borderId="44" xfId="41" applyFont="1" applyFill="1" applyBorder="1" applyProtection="1">
      <alignment horizontal="center" vertical="center" shrinkToFit="1"/>
      <protection hidden="1"/>
    </xf>
    <xf numFmtId="0" fontId="24" fillId="5" borderId="44" xfId="41" applyFont="1" applyFill="1" applyBorder="1" applyProtection="1">
      <alignment horizontal="center" vertical="center" shrinkToFit="1"/>
      <protection hidden="1"/>
    </xf>
    <xf numFmtId="3" fontId="24" fillId="5" borderId="44" xfId="41" applyNumberFormat="1" applyFont="1" applyFill="1" applyBorder="1" applyProtection="1">
      <alignment horizontal="center" vertical="center" shrinkToFit="1"/>
      <protection hidden="1"/>
    </xf>
    <xf numFmtId="3" fontId="24" fillId="5" borderId="51" xfId="41" applyNumberFormat="1" applyFont="1" applyFill="1" applyBorder="1" applyProtection="1">
      <alignment horizontal="center" vertical="center" shrinkToFit="1"/>
      <protection hidden="1"/>
    </xf>
    <xf numFmtId="0" fontId="24" fillId="7" borderId="46" xfId="41" applyFont="1" applyFill="1" applyBorder="1" applyProtection="1">
      <alignment horizontal="center" vertical="center" shrinkToFit="1"/>
      <protection hidden="1"/>
    </xf>
    <xf numFmtId="0" fontId="26" fillId="22" borderId="140" xfId="41" applyFont="1" applyFill="1" applyBorder="1" applyProtection="1">
      <alignment horizontal="center" vertical="center" shrinkToFit="1"/>
      <protection hidden="1"/>
    </xf>
    <xf numFmtId="0" fontId="26" fillId="22" borderId="0" xfId="41" applyFont="1" applyFill="1" applyProtection="1">
      <alignment horizontal="center" vertical="center" shrinkToFit="1"/>
      <protection hidden="1"/>
    </xf>
    <xf numFmtId="166" fontId="15" fillId="5" borderId="47" xfId="41" applyNumberFormat="1" applyFont="1" applyFill="1" applyBorder="1" applyProtection="1">
      <alignment horizontal="center" vertical="center" shrinkToFit="1"/>
      <protection hidden="1"/>
    </xf>
    <xf numFmtId="166" fontId="15" fillId="5" borderId="56" xfId="41" applyNumberFormat="1" applyFont="1" applyFill="1" applyBorder="1" applyProtection="1">
      <alignment horizontal="center" vertical="center" shrinkToFit="1"/>
      <protection hidden="1"/>
    </xf>
    <xf numFmtId="166" fontId="15" fillId="5" borderId="21" xfId="41" applyNumberFormat="1" applyFont="1" applyFill="1" applyBorder="1" applyProtection="1">
      <alignment horizontal="center" vertical="center" shrinkToFit="1"/>
      <protection hidden="1"/>
    </xf>
    <xf numFmtId="0" fontId="24" fillId="11" borderId="44" xfId="41" applyFont="1" applyFill="1" applyBorder="1" applyProtection="1">
      <alignment horizontal="center" vertical="center" shrinkToFit="1"/>
      <protection hidden="1"/>
    </xf>
    <xf numFmtId="3" fontId="24" fillId="11" borderId="44" xfId="41" applyNumberFormat="1" applyFont="1" applyFill="1" applyBorder="1" applyProtection="1">
      <alignment horizontal="center" vertical="center" shrinkToFit="1"/>
      <protection hidden="1"/>
    </xf>
    <xf numFmtId="3" fontId="24" fillId="11" borderId="51" xfId="41" applyNumberFormat="1" applyFont="1" applyFill="1" applyBorder="1" applyProtection="1">
      <alignment horizontal="center" vertical="center" shrinkToFit="1"/>
      <protection hidden="1"/>
    </xf>
    <xf numFmtId="0" fontId="70" fillId="15" borderId="47" xfId="41" applyFont="1" applyFill="1" applyBorder="1" applyProtection="1">
      <alignment horizontal="center" vertical="center" shrinkToFit="1"/>
      <protection hidden="1"/>
    </xf>
    <xf numFmtId="0" fontId="70" fillId="15" borderId="56" xfId="41" applyFont="1" applyFill="1" applyBorder="1" applyProtection="1">
      <alignment horizontal="center" vertical="center" shrinkToFit="1"/>
      <protection hidden="1"/>
    </xf>
    <xf numFmtId="0" fontId="26" fillId="23" borderId="47" xfId="41" applyFont="1" applyFill="1" applyBorder="1" applyAlignment="1" applyProtection="1">
      <alignment horizontal="left" vertical="center" shrinkToFit="1"/>
      <protection hidden="1"/>
    </xf>
    <xf numFmtId="0" fontId="26" fillId="23" borderId="57" xfId="41" applyFont="1" applyFill="1" applyBorder="1" applyAlignment="1" applyProtection="1">
      <alignment horizontal="left" vertical="center" shrinkToFit="1"/>
      <protection hidden="1"/>
    </xf>
    <xf numFmtId="0" fontId="26" fillId="23" borderId="56" xfId="41" applyFont="1" applyFill="1" applyBorder="1" applyAlignment="1" applyProtection="1">
      <alignment horizontal="left" vertical="center" shrinkToFit="1"/>
      <protection hidden="1"/>
    </xf>
    <xf numFmtId="166" fontId="17" fillId="15" borderId="44" xfId="41" applyNumberFormat="1" applyFont="1" applyFill="1" applyBorder="1" applyProtection="1">
      <alignment horizontal="center" vertical="center" shrinkToFit="1"/>
      <protection hidden="1"/>
    </xf>
    <xf numFmtId="166" fontId="17" fillId="15" borderId="51" xfId="41" applyNumberFormat="1" applyFont="1" applyFill="1" applyBorder="1" applyProtection="1">
      <alignment horizontal="center" vertical="center" shrinkToFit="1"/>
      <protection hidden="1"/>
    </xf>
    <xf numFmtId="0" fontId="25" fillId="22" borderId="43" xfId="41" applyFont="1" applyFill="1" applyBorder="1" applyProtection="1">
      <alignment horizontal="center" vertical="center" shrinkToFit="1"/>
      <protection hidden="1"/>
    </xf>
    <xf numFmtId="0" fontId="25" fillId="22" borderId="44" xfId="41" applyFont="1" applyFill="1" applyBorder="1" applyProtection="1">
      <alignment horizontal="center" vertical="center" shrinkToFit="1"/>
      <protection hidden="1"/>
    </xf>
    <xf numFmtId="0" fontId="25" fillId="22" borderId="51" xfId="41" applyFont="1" applyFill="1" applyBorder="1" applyProtection="1">
      <alignment horizontal="center" vertical="center" shrinkToFit="1"/>
      <protection hidden="1"/>
    </xf>
    <xf numFmtId="174" fontId="15" fillId="5" borderId="3" xfId="41" applyNumberFormat="1" applyFont="1" applyFill="1" applyBorder="1" applyProtection="1">
      <alignment horizontal="center" vertical="center" shrinkToFit="1"/>
      <protection hidden="1"/>
    </xf>
    <xf numFmtId="174" fontId="15" fillId="5" borderId="2" xfId="41" applyNumberFormat="1" applyFont="1" applyFill="1" applyBorder="1" applyProtection="1">
      <alignment horizontal="center" vertical="center" shrinkToFit="1"/>
      <protection hidden="1"/>
    </xf>
    <xf numFmtId="174" fontId="15" fillId="5" borderId="67" xfId="41" applyNumberFormat="1" applyFont="1" applyFill="1" applyBorder="1" applyProtection="1">
      <alignment horizontal="center" vertical="center" shrinkToFit="1"/>
      <protection hidden="1"/>
    </xf>
    <xf numFmtId="166" fontId="15" fillId="5" borderId="39" xfId="41" applyNumberFormat="1" applyFont="1" applyFill="1" applyBorder="1" applyProtection="1">
      <alignment horizontal="center" vertical="center" shrinkToFit="1"/>
      <protection hidden="1"/>
    </xf>
    <xf numFmtId="166" fontId="15" fillId="5" borderId="38" xfId="41" applyNumberFormat="1" applyFont="1" applyFill="1" applyBorder="1" applyProtection="1">
      <alignment horizontal="center" vertical="center" shrinkToFit="1"/>
      <protection hidden="1"/>
    </xf>
    <xf numFmtId="166" fontId="15" fillId="5" borderId="64" xfId="41" applyNumberFormat="1" applyFont="1" applyFill="1" applyBorder="1" applyProtection="1">
      <alignment horizontal="center" vertical="center" shrinkToFit="1"/>
      <protection hidden="1"/>
    </xf>
    <xf numFmtId="3" fontId="15" fillId="8" borderId="44" xfId="41" applyNumberFormat="1" applyFont="1" applyFill="1" applyBorder="1" applyProtection="1">
      <alignment horizontal="center" vertical="center" shrinkToFit="1"/>
      <protection hidden="1"/>
    </xf>
    <xf numFmtId="3" fontId="15" fillId="24" borderId="44" xfId="41" applyNumberFormat="1" applyFont="1" applyFill="1" applyBorder="1" applyProtection="1">
      <alignment horizontal="center" vertical="center" shrinkToFit="1"/>
      <protection hidden="1"/>
    </xf>
    <xf numFmtId="166" fontId="15" fillId="5" borderId="3" xfId="41" applyNumberFormat="1" applyFont="1" applyFill="1" applyBorder="1" applyProtection="1">
      <alignment horizontal="center" vertical="center" shrinkToFit="1"/>
      <protection hidden="1"/>
    </xf>
    <xf numFmtId="166" fontId="15" fillId="5" borderId="2" xfId="41" applyNumberFormat="1" applyFont="1" applyFill="1" applyBorder="1" applyProtection="1">
      <alignment horizontal="center" vertical="center" shrinkToFit="1"/>
      <protection hidden="1"/>
    </xf>
    <xf numFmtId="166" fontId="15" fillId="5" borderId="67" xfId="41" applyNumberFormat="1" applyFont="1" applyFill="1" applyBorder="1" applyProtection="1">
      <alignment horizontal="center" vertical="center" shrinkToFit="1"/>
      <protection hidden="1"/>
    </xf>
    <xf numFmtId="0" fontId="25" fillId="14" borderId="68" xfId="41" applyFont="1" applyFill="1" applyBorder="1" applyProtection="1">
      <alignment horizontal="center" vertical="center" shrinkToFit="1"/>
      <protection hidden="1"/>
    </xf>
    <xf numFmtId="166" fontId="15" fillId="0" borderId="39" xfId="41" applyNumberFormat="1" applyFont="1" applyBorder="1" applyProtection="1">
      <alignment horizontal="center" vertical="center" shrinkToFit="1"/>
      <protection hidden="1"/>
    </xf>
    <xf numFmtId="166" fontId="15" fillId="0" borderId="38" xfId="41" applyNumberFormat="1" applyFont="1" applyBorder="1" applyProtection="1">
      <alignment horizontal="center" vertical="center" shrinkToFit="1"/>
      <protection hidden="1"/>
    </xf>
    <xf numFmtId="9" fontId="15" fillId="0" borderId="3" xfId="41" applyNumberFormat="1" applyFont="1" applyBorder="1" applyProtection="1">
      <alignment horizontal="center" vertical="center" shrinkToFit="1"/>
      <protection hidden="1"/>
    </xf>
    <xf numFmtId="9" fontId="15" fillId="0" borderId="2" xfId="41" applyNumberFormat="1" applyFont="1" applyBorder="1" applyProtection="1">
      <alignment horizontal="center" vertical="center" shrinkToFit="1"/>
      <protection hidden="1"/>
    </xf>
    <xf numFmtId="166" fontId="15" fillId="0" borderId="3" xfId="41" applyNumberFormat="1" applyFont="1" applyBorder="1" applyProtection="1">
      <alignment horizontal="center" vertical="center" shrinkToFit="1"/>
      <protection hidden="1"/>
    </xf>
    <xf numFmtId="166" fontId="15" fillId="0" borderId="2" xfId="41" applyNumberFormat="1" applyFont="1" applyBorder="1" applyProtection="1">
      <alignment horizontal="center" vertical="center" shrinkToFit="1"/>
      <protection hidden="1"/>
    </xf>
    <xf numFmtId="166" fontId="26" fillId="23" borderId="47" xfId="41" applyNumberFormat="1" applyFont="1" applyFill="1" applyBorder="1" applyProtection="1">
      <alignment horizontal="center" vertical="center" shrinkToFit="1"/>
      <protection hidden="1"/>
    </xf>
    <xf numFmtId="166" fontId="26" fillId="23" borderId="56" xfId="41" applyNumberFormat="1" applyFont="1" applyFill="1" applyBorder="1" applyProtection="1">
      <alignment horizontal="center" vertical="center" shrinkToFit="1"/>
      <protection hidden="1"/>
    </xf>
    <xf numFmtId="166" fontId="26" fillId="23" borderId="21" xfId="41" applyNumberFormat="1" applyFont="1" applyFill="1" applyBorder="1" applyProtection="1">
      <alignment horizontal="center" vertical="center" shrinkToFit="1"/>
      <protection hidden="1"/>
    </xf>
    <xf numFmtId="3" fontId="15" fillId="5" borderId="47" xfId="41" applyNumberFormat="1" applyFont="1" applyFill="1" applyBorder="1" applyProtection="1">
      <alignment horizontal="center" vertical="center" shrinkToFit="1"/>
      <protection locked="0" hidden="1"/>
    </xf>
    <xf numFmtId="3" fontId="15" fillId="5" borderId="57" xfId="41" applyNumberFormat="1" applyFont="1" applyFill="1" applyBorder="1" applyProtection="1">
      <alignment horizontal="center" vertical="center" shrinkToFit="1"/>
      <protection locked="0" hidden="1"/>
    </xf>
    <xf numFmtId="3" fontId="15" fillId="5" borderId="56" xfId="41" applyNumberFormat="1" applyFont="1" applyFill="1" applyBorder="1" applyProtection="1">
      <alignment horizontal="center" vertical="center" shrinkToFit="1"/>
      <protection locked="0" hidden="1"/>
    </xf>
    <xf numFmtId="0" fontId="71" fillId="22" borderId="175" xfId="41" applyFont="1" applyFill="1" applyBorder="1" applyProtection="1">
      <alignment horizontal="center" vertical="center" shrinkToFit="1"/>
      <protection hidden="1"/>
    </xf>
    <xf numFmtId="0" fontId="71" fillId="22" borderId="61" xfId="41" applyFont="1" applyFill="1" applyBorder="1" applyProtection="1">
      <alignment horizontal="center" vertical="center" shrinkToFit="1"/>
      <protection hidden="1"/>
    </xf>
    <xf numFmtId="0" fontId="71" fillId="22" borderId="90" xfId="41" applyFont="1" applyFill="1" applyBorder="1" applyProtection="1">
      <alignment horizontal="center" vertical="center" shrinkToFit="1"/>
      <protection hidden="1"/>
    </xf>
    <xf numFmtId="0" fontId="71" fillId="22" borderId="174" xfId="41" applyFont="1" applyFill="1" applyBorder="1" applyProtection="1">
      <alignment horizontal="center" vertical="center" shrinkToFit="1"/>
      <protection hidden="1"/>
    </xf>
    <xf numFmtId="0" fontId="71" fillId="22" borderId="68" xfId="41" applyFont="1" applyFill="1" applyBorder="1" applyProtection="1">
      <alignment horizontal="center" vertical="center" shrinkToFit="1"/>
      <protection hidden="1"/>
    </xf>
    <xf numFmtId="0" fontId="71" fillId="22" borderId="55" xfId="41" applyFont="1" applyFill="1" applyBorder="1" applyProtection="1">
      <alignment horizontal="center" vertical="center" shrinkToFit="1"/>
      <protection hidden="1"/>
    </xf>
    <xf numFmtId="0" fontId="26" fillId="23" borderId="44" xfId="41" applyFont="1" applyFill="1" applyBorder="1" applyAlignment="1" applyProtection="1">
      <alignment horizontal="left" vertical="center" shrinkToFit="1"/>
      <protection hidden="1"/>
    </xf>
    <xf numFmtId="0" fontId="26" fillId="15" borderId="185" xfId="41" applyFont="1" applyFill="1" applyBorder="1" applyProtection="1">
      <alignment horizontal="center" vertical="center" shrinkToFit="1"/>
      <protection hidden="1"/>
    </xf>
    <xf numFmtId="0" fontId="26" fillId="15" borderId="139" xfId="41" applyFont="1" applyFill="1" applyBorder="1" applyProtection="1">
      <alignment horizontal="center" vertical="center" shrinkToFit="1"/>
      <protection hidden="1"/>
    </xf>
    <xf numFmtId="0" fontId="26" fillId="15" borderId="174" xfId="41" applyFont="1" applyFill="1" applyBorder="1" applyProtection="1">
      <alignment horizontal="center" vertical="center" shrinkToFit="1"/>
      <protection hidden="1"/>
    </xf>
    <xf numFmtId="0" fontId="26" fillId="15" borderId="142" xfId="41" applyFont="1" applyFill="1" applyBorder="1" applyProtection="1">
      <alignment horizontal="center" vertical="center" shrinkToFit="1"/>
      <protection hidden="1"/>
    </xf>
    <xf numFmtId="0" fontId="26" fillId="15" borderId="53" xfId="41" applyFont="1" applyFill="1" applyBorder="1" applyProtection="1">
      <alignment horizontal="center" vertical="center" shrinkToFit="1"/>
      <protection hidden="1"/>
    </xf>
    <xf numFmtId="0" fontId="26" fillId="15" borderId="66" xfId="41" applyFont="1" applyFill="1" applyBorder="1" applyProtection="1">
      <alignment horizontal="center" vertical="center" shrinkToFit="1"/>
      <protection hidden="1"/>
    </xf>
    <xf numFmtId="0" fontId="25" fillId="14" borderId="44" xfId="41" applyFont="1" applyFill="1" applyBorder="1" applyProtection="1">
      <alignment horizontal="center" vertical="center" shrinkToFit="1"/>
      <protection hidden="1"/>
    </xf>
    <xf numFmtId="0" fontId="25" fillId="15" borderId="44" xfId="41" applyFont="1" applyFill="1" applyBorder="1" applyProtection="1">
      <alignment horizontal="center" vertical="center" shrinkToFit="1"/>
      <protection hidden="1"/>
    </xf>
    <xf numFmtId="0" fontId="25" fillId="13" borderId="3" xfId="41" applyFont="1" applyFill="1" applyBorder="1" applyProtection="1">
      <alignment horizontal="center" vertical="center" shrinkToFit="1"/>
      <protection hidden="1"/>
    </xf>
    <xf numFmtId="0" fontId="25" fillId="13" borderId="67" xfId="41" applyFont="1" applyFill="1" applyBorder="1" applyProtection="1">
      <alignment horizontal="center" vertical="center" shrinkToFit="1"/>
      <protection hidden="1"/>
    </xf>
    <xf numFmtId="0" fontId="24" fillId="5" borderId="47" xfId="41" applyFont="1" applyFill="1" applyBorder="1" applyProtection="1">
      <alignment horizontal="center" vertical="center" shrinkToFit="1"/>
      <protection hidden="1"/>
    </xf>
    <xf numFmtId="0" fontId="24" fillId="5" borderId="57" xfId="41" applyFont="1" applyFill="1" applyBorder="1" applyProtection="1">
      <alignment horizontal="center" vertical="center" shrinkToFit="1"/>
      <protection hidden="1"/>
    </xf>
    <xf numFmtId="0" fontId="24" fillId="5" borderId="56" xfId="41" applyFont="1" applyFill="1" applyBorder="1" applyProtection="1">
      <alignment horizontal="center" vertical="center" shrinkToFit="1"/>
      <protection hidden="1"/>
    </xf>
    <xf numFmtId="3" fontId="15" fillId="8" borderId="47" xfId="41" applyNumberFormat="1" applyFont="1" applyFill="1" applyBorder="1" applyProtection="1">
      <alignment horizontal="center" vertical="center" shrinkToFit="1"/>
      <protection hidden="1"/>
    </xf>
    <xf numFmtId="3" fontId="15" fillId="8" borderId="57" xfId="41" applyNumberFormat="1" applyFont="1" applyFill="1" applyBorder="1" applyProtection="1">
      <alignment horizontal="center" vertical="center" shrinkToFit="1"/>
      <protection hidden="1"/>
    </xf>
    <xf numFmtId="3" fontId="15" fillId="8" borderId="56" xfId="41" applyNumberFormat="1" applyFont="1" applyFill="1" applyBorder="1" applyProtection="1">
      <alignment horizontal="center" vertical="center" shrinkToFit="1"/>
      <protection hidden="1"/>
    </xf>
    <xf numFmtId="0" fontId="26" fillId="23" borderId="3" xfId="41" applyFont="1" applyFill="1" applyBorder="1" applyAlignment="1" applyProtection="1">
      <alignment horizontal="center" vertical="center" wrapText="1" shrinkToFit="1"/>
      <protection hidden="1"/>
    </xf>
    <xf numFmtId="0" fontId="26" fillId="23" borderId="2" xfId="41" applyFont="1" applyFill="1" applyBorder="1" applyAlignment="1" applyProtection="1">
      <alignment horizontal="center" vertical="center" wrapText="1" shrinkToFit="1"/>
      <protection hidden="1"/>
    </xf>
    <xf numFmtId="0" fontId="26" fillId="23" borderId="67" xfId="41" applyFont="1" applyFill="1" applyBorder="1" applyAlignment="1" applyProtection="1">
      <alignment horizontal="center" vertical="center" wrapText="1" shrinkToFit="1"/>
      <protection hidden="1"/>
    </xf>
    <xf numFmtId="0" fontId="27" fillId="11" borderId="43" xfId="41" applyFont="1" applyFill="1" applyBorder="1" applyProtection="1">
      <alignment horizontal="center" vertical="center" shrinkToFit="1"/>
      <protection hidden="1"/>
    </xf>
    <xf numFmtId="0" fontId="27" fillId="11" borderId="44" xfId="41" applyFont="1" applyFill="1" applyBorder="1" applyProtection="1">
      <alignment horizontal="center" vertical="center" shrinkToFit="1"/>
      <protection hidden="1"/>
    </xf>
    <xf numFmtId="0" fontId="27" fillId="11" borderId="51" xfId="41" applyFont="1" applyFill="1" applyBorder="1" applyProtection="1">
      <alignment horizontal="center" vertical="center" shrinkToFit="1"/>
      <protection hidden="1"/>
    </xf>
    <xf numFmtId="0" fontId="26" fillId="15" borderId="47" xfId="41" applyFont="1" applyFill="1" applyBorder="1" applyProtection="1">
      <alignment horizontal="center" vertical="center" shrinkToFit="1"/>
      <protection hidden="1"/>
    </xf>
    <xf numFmtId="0" fontId="26" fillId="15" borderId="56" xfId="41" applyFont="1" applyFill="1" applyBorder="1" applyProtection="1">
      <alignment horizontal="center" vertical="center" shrinkToFit="1"/>
      <protection hidden="1"/>
    </xf>
    <xf numFmtId="0" fontId="26" fillId="22" borderId="43" xfId="41" applyFont="1" applyFill="1" applyBorder="1" applyProtection="1">
      <alignment horizontal="center" vertical="center" shrinkToFit="1"/>
      <protection hidden="1"/>
    </xf>
    <xf numFmtId="0" fontId="26" fillId="15" borderId="3" xfId="41" applyFont="1" applyFill="1" applyBorder="1" applyProtection="1">
      <alignment horizontal="center" vertical="center" shrinkToFit="1"/>
      <protection hidden="1"/>
    </xf>
    <xf numFmtId="0" fontId="26" fillId="15" borderId="67" xfId="41" applyFont="1" applyFill="1" applyBorder="1" applyProtection="1">
      <alignment horizontal="center" vertical="center" shrinkToFit="1"/>
      <protection hidden="1"/>
    </xf>
    <xf numFmtId="0" fontId="26" fillId="22" borderId="52" xfId="41" applyFont="1" applyFill="1" applyBorder="1" applyProtection="1">
      <alignment horizontal="center" vertical="center" shrinkToFit="1"/>
      <protection hidden="1"/>
    </xf>
    <xf numFmtId="0" fontId="26" fillId="22" borderId="88" xfId="41" applyFont="1" applyFill="1" applyBorder="1" applyProtection="1">
      <alignment horizontal="center" vertical="center" shrinkToFit="1"/>
      <protection hidden="1"/>
    </xf>
    <xf numFmtId="0" fontId="26" fillId="23" borderId="2" xfId="41" applyFont="1" applyFill="1" applyBorder="1" applyProtection="1">
      <alignment horizontal="center" vertical="center" shrinkToFit="1"/>
      <protection hidden="1"/>
    </xf>
    <xf numFmtId="0" fontId="26" fillId="22" borderId="63" xfId="41" applyFont="1" applyFill="1" applyBorder="1" applyProtection="1">
      <alignment horizontal="center" vertical="center" shrinkToFit="1"/>
      <protection hidden="1"/>
    </xf>
    <xf numFmtId="171" fontId="93" fillId="5" borderId="152" xfId="30" applyNumberFormat="1" applyFont="1" applyFill="1" applyBorder="1" applyAlignment="1" applyProtection="1">
      <alignment horizontal="center" vertical="center"/>
      <protection hidden="1"/>
    </xf>
    <xf numFmtId="171" fontId="93" fillId="5" borderId="153" xfId="30" applyNumberFormat="1" applyFont="1" applyFill="1" applyBorder="1" applyAlignment="1" applyProtection="1">
      <alignment horizontal="center" vertical="center"/>
      <protection hidden="1"/>
    </xf>
    <xf numFmtId="22" fontId="73" fillId="28" borderId="0" xfId="30" applyNumberFormat="1" applyFont="1" applyFill="1" applyAlignment="1" applyProtection="1">
      <alignment horizontal="center" vertical="center"/>
      <protection hidden="1"/>
    </xf>
    <xf numFmtId="170" fontId="12" fillId="22" borderId="110" xfId="30" applyNumberFormat="1" applyFont="1" applyFill="1" applyBorder="1" applyAlignment="1" applyProtection="1">
      <alignment horizontal="center" vertical="center"/>
      <protection hidden="1"/>
    </xf>
    <xf numFmtId="171" fontId="103" fillId="5" borderId="113" xfId="30" applyNumberFormat="1" applyFont="1" applyFill="1" applyBorder="1" applyAlignment="1" applyProtection="1">
      <alignment horizontal="center" vertical="center"/>
      <protection hidden="1"/>
    </xf>
    <xf numFmtId="172" fontId="96" fillId="28" borderId="140" xfId="30" applyNumberFormat="1" applyFont="1" applyFill="1" applyBorder="1" applyAlignment="1" applyProtection="1">
      <alignment horizontal="center" vertical="center" shrinkToFit="1"/>
      <protection hidden="1"/>
    </xf>
    <xf numFmtId="172" fontId="96" fillId="28" borderId="0" xfId="30" applyNumberFormat="1" applyFont="1" applyFill="1" applyAlignment="1" applyProtection="1">
      <alignment horizontal="center" vertical="center" shrinkToFit="1"/>
      <protection hidden="1"/>
    </xf>
    <xf numFmtId="0" fontId="92" fillId="5" borderId="147" xfId="30" applyFont="1" applyFill="1" applyBorder="1" applyAlignment="1" applyProtection="1">
      <alignment horizontal="center" vertical="center"/>
      <protection locked="0" hidden="1"/>
    </xf>
    <xf numFmtId="0" fontId="92" fillId="5" borderId="148" xfId="30" applyFont="1" applyFill="1" applyBorder="1" applyAlignment="1" applyProtection="1">
      <alignment horizontal="center" vertical="center"/>
      <protection locked="0" hidden="1"/>
    </xf>
    <xf numFmtId="170" fontId="94" fillId="5" borderId="145" xfId="30" applyNumberFormat="1" applyFont="1" applyFill="1" applyBorder="1" applyAlignment="1" applyProtection="1">
      <alignment horizontal="center" vertical="center"/>
      <protection hidden="1"/>
    </xf>
    <xf numFmtId="170" fontId="94" fillId="5" borderId="146" xfId="30" applyNumberFormat="1" applyFont="1" applyFill="1" applyBorder="1" applyAlignment="1" applyProtection="1">
      <alignment horizontal="center" vertical="center"/>
      <protection hidden="1"/>
    </xf>
    <xf numFmtId="169" fontId="93" fillId="5" borderId="143" xfId="30" applyNumberFormat="1" applyFont="1" applyFill="1" applyBorder="1" applyAlignment="1" applyProtection="1">
      <alignment horizontal="center" vertical="center"/>
      <protection hidden="1"/>
    </xf>
    <xf numFmtId="169" fontId="93" fillId="5" borderId="144" xfId="30" applyNumberFormat="1" applyFont="1" applyFill="1" applyBorder="1" applyAlignment="1" applyProtection="1">
      <alignment horizontal="center" vertical="center"/>
      <protection hidden="1"/>
    </xf>
    <xf numFmtId="170" fontId="93" fillId="5" borderId="143" xfId="30" applyNumberFormat="1" applyFont="1" applyFill="1" applyBorder="1" applyAlignment="1" applyProtection="1">
      <alignment horizontal="left" vertical="center"/>
      <protection hidden="1"/>
    </xf>
    <xf numFmtId="170" fontId="93" fillId="5" borderId="149" xfId="30" applyNumberFormat="1" applyFont="1" applyFill="1" applyBorder="1" applyAlignment="1" applyProtection="1">
      <alignment horizontal="left" vertical="center"/>
      <protection hidden="1"/>
    </xf>
    <xf numFmtId="170" fontId="94" fillId="5" borderId="145" xfId="30" applyNumberFormat="1" applyFont="1" applyFill="1" applyBorder="1" applyAlignment="1" applyProtection="1">
      <alignment horizontal="left" vertical="center"/>
      <protection hidden="1"/>
    </xf>
    <xf numFmtId="170" fontId="94" fillId="5" borderId="150" xfId="30" applyNumberFormat="1" applyFont="1" applyFill="1" applyBorder="1" applyAlignment="1" applyProtection="1">
      <alignment horizontal="left" vertical="center"/>
      <protection hidden="1"/>
    </xf>
    <xf numFmtId="0" fontId="92" fillId="5" borderId="147" xfId="30" applyFont="1" applyFill="1" applyBorder="1" applyAlignment="1" applyProtection="1">
      <alignment horizontal="left" vertical="center"/>
      <protection hidden="1"/>
    </xf>
    <xf numFmtId="0" fontId="92" fillId="5" borderId="151" xfId="30" applyFont="1" applyFill="1" applyBorder="1" applyAlignment="1" applyProtection="1">
      <alignment horizontal="left" vertical="center"/>
      <protection hidden="1"/>
    </xf>
    <xf numFmtId="170" fontId="12" fillId="22" borderId="111" xfId="30" applyNumberFormat="1" applyFont="1" applyFill="1" applyBorder="1" applyAlignment="1" applyProtection="1">
      <alignment horizontal="center" vertical="center"/>
      <protection hidden="1"/>
    </xf>
    <xf numFmtId="171" fontId="103" fillId="5" borderId="114" xfId="30" applyNumberFormat="1" applyFont="1" applyFill="1" applyBorder="1" applyAlignment="1" applyProtection="1">
      <alignment horizontal="center" vertical="center"/>
      <protection hidden="1"/>
    </xf>
    <xf numFmtId="0" fontId="34" fillId="22" borderId="122" xfId="30" applyFont="1" applyFill="1" applyBorder="1" applyAlignment="1" applyProtection="1">
      <alignment horizontal="center" vertical="center"/>
      <protection hidden="1"/>
    </xf>
    <xf numFmtId="0" fontId="34" fillId="22" borderId="124" xfId="30" applyFont="1" applyFill="1" applyBorder="1" applyAlignment="1" applyProtection="1">
      <alignment horizontal="center" vertical="center"/>
      <protection hidden="1"/>
    </xf>
    <xf numFmtId="173" fontId="117" fillId="5" borderId="145" xfId="30" applyNumberFormat="1" applyFont="1" applyFill="1" applyBorder="1" applyAlignment="1" applyProtection="1">
      <alignment horizontal="center" vertical="center"/>
      <protection hidden="1"/>
    </xf>
    <xf numFmtId="173" fontId="117" fillId="5" borderId="150" xfId="30" applyNumberFormat="1" applyFont="1" applyFill="1" applyBorder="1" applyAlignment="1" applyProtection="1">
      <alignment horizontal="center" vertical="center"/>
      <protection hidden="1"/>
    </xf>
    <xf numFmtId="173" fontId="117" fillId="5" borderId="146" xfId="30" applyNumberFormat="1" applyFont="1" applyFill="1" applyBorder="1" applyAlignment="1" applyProtection="1">
      <alignment horizontal="center" vertical="center"/>
      <protection hidden="1"/>
    </xf>
    <xf numFmtId="3" fontId="117" fillId="5" borderId="143" xfId="30" applyNumberFormat="1" applyFont="1" applyFill="1" applyBorder="1" applyAlignment="1" applyProtection="1">
      <alignment horizontal="center" vertical="center"/>
      <protection hidden="1"/>
    </xf>
    <xf numFmtId="3" fontId="117" fillId="5" borderId="149" xfId="30" applyNumberFormat="1" applyFont="1" applyFill="1" applyBorder="1" applyAlignment="1" applyProtection="1">
      <alignment horizontal="center" vertical="center"/>
      <protection hidden="1"/>
    </xf>
    <xf numFmtId="3" fontId="117" fillId="5" borderId="144" xfId="30" applyNumberFormat="1" applyFont="1" applyFill="1" applyBorder="1" applyAlignment="1" applyProtection="1">
      <alignment horizontal="center" vertical="center"/>
      <protection hidden="1"/>
    </xf>
    <xf numFmtId="170" fontId="72" fillId="28" borderId="140" xfId="29" applyNumberFormat="1" applyFont="1" applyFill="1" applyBorder="1" applyAlignment="1" applyProtection="1">
      <alignment horizontal="right" vertical="center" shrinkToFit="1"/>
      <protection hidden="1"/>
    </xf>
    <xf numFmtId="170" fontId="72" fillId="28" borderId="0" xfId="29" applyNumberFormat="1" applyFont="1" applyFill="1" applyAlignment="1" applyProtection="1">
      <alignment horizontal="right" vertical="center" shrinkToFit="1"/>
      <protection hidden="1"/>
    </xf>
    <xf numFmtId="170" fontId="116" fillId="28" borderId="0" xfId="29" applyNumberFormat="1" applyFont="1" applyFill="1" applyAlignment="1" applyProtection="1">
      <alignment horizontal="left" vertical="center"/>
      <protection hidden="1"/>
    </xf>
    <xf numFmtId="10" fontId="113" fillId="5" borderId="147" xfId="29" applyNumberFormat="1" applyFont="1" applyFill="1" applyBorder="1" applyAlignment="1" applyProtection="1">
      <alignment horizontal="center" vertical="center" shrinkToFit="1"/>
      <protection hidden="1"/>
    </xf>
    <xf numFmtId="10" fontId="113" fillId="5" borderId="151" xfId="29" applyNumberFormat="1" applyFont="1" applyFill="1" applyBorder="1" applyAlignment="1" applyProtection="1">
      <alignment horizontal="center" vertical="center" shrinkToFit="1"/>
      <protection hidden="1"/>
    </xf>
    <xf numFmtId="10" fontId="113" fillId="5" borderId="148" xfId="29" applyNumberFormat="1" applyFont="1" applyFill="1" applyBorder="1" applyAlignment="1" applyProtection="1">
      <alignment horizontal="center" vertical="center" shrinkToFit="1"/>
      <protection hidden="1"/>
    </xf>
    <xf numFmtId="173" fontId="111" fillId="5" borderId="145" xfId="30" applyNumberFormat="1" applyFont="1" applyFill="1" applyBorder="1" applyAlignment="1" applyProtection="1">
      <alignment horizontal="center" vertical="center" shrinkToFit="1"/>
      <protection hidden="1"/>
    </xf>
    <xf numFmtId="173" fontId="111" fillId="5" borderId="150" xfId="30" applyNumberFormat="1" applyFont="1" applyFill="1" applyBorder="1" applyAlignment="1" applyProtection="1">
      <alignment horizontal="center" vertical="center" shrinkToFit="1"/>
      <protection hidden="1"/>
    </xf>
    <xf numFmtId="173" fontId="111" fillId="5" borderId="146" xfId="30" applyNumberFormat="1" applyFont="1" applyFill="1" applyBorder="1" applyAlignment="1" applyProtection="1">
      <alignment horizontal="center" vertical="center" shrinkToFit="1"/>
      <protection hidden="1"/>
    </xf>
    <xf numFmtId="173" fontId="118" fillId="5" borderId="143" xfId="30" applyNumberFormat="1" applyFont="1" applyFill="1" applyBorder="1" applyAlignment="1" applyProtection="1">
      <alignment horizontal="center" vertical="center"/>
      <protection hidden="1"/>
    </xf>
    <xf numFmtId="173" fontId="118" fillId="5" borderId="149" xfId="30" applyNumberFormat="1" applyFont="1" applyFill="1" applyBorder="1" applyAlignment="1" applyProtection="1">
      <alignment horizontal="center" vertical="center"/>
      <protection hidden="1"/>
    </xf>
    <xf numFmtId="173" fontId="118" fillId="5" borderId="144" xfId="30" applyNumberFormat="1" applyFont="1" applyFill="1" applyBorder="1" applyAlignment="1" applyProtection="1">
      <alignment horizontal="center" vertical="center"/>
      <protection hidden="1"/>
    </xf>
    <xf numFmtId="3" fontId="118" fillId="5" borderId="152" xfId="30" applyNumberFormat="1" applyFont="1" applyFill="1" applyBorder="1" applyAlignment="1" applyProtection="1">
      <alignment horizontal="center" vertical="center"/>
      <protection hidden="1"/>
    </xf>
    <xf numFmtId="3" fontId="118" fillId="5" borderId="157" xfId="30" applyNumberFormat="1" applyFont="1" applyFill="1" applyBorder="1" applyAlignment="1" applyProtection="1">
      <alignment horizontal="center" vertical="center"/>
      <protection hidden="1"/>
    </xf>
    <xf numFmtId="3" fontId="118" fillId="5" borderId="153" xfId="30" applyNumberFormat="1" applyFont="1" applyFill="1" applyBorder="1" applyAlignment="1" applyProtection="1">
      <alignment horizontal="center" vertical="center"/>
      <protection hidden="1"/>
    </xf>
    <xf numFmtId="171" fontId="31" fillId="5" borderId="124" xfId="30" applyNumberFormat="1" applyFont="1" applyFill="1" applyBorder="1" applyAlignment="1" applyProtection="1">
      <alignment horizontal="center" vertical="center"/>
      <protection hidden="1"/>
    </xf>
    <xf numFmtId="171" fontId="31" fillId="5" borderId="123" xfId="30" applyNumberFormat="1" applyFont="1" applyFill="1" applyBorder="1" applyAlignment="1" applyProtection="1">
      <alignment horizontal="center" vertical="center"/>
      <protection hidden="1"/>
    </xf>
    <xf numFmtId="10" fontId="31" fillId="0" borderId="44" xfId="29" applyNumberFormat="1" applyFont="1" applyBorder="1" applyAlignment="1" applyProtection="1">
      <alignment horizontal="center" vertical="center" shrinkToFit="1"/>
      <protection locked="0" hidden="1"/>
    </xf>
    <xf numFmtId="0" fontId="45" fillId="0" borderId="44" xfId="28" applyFont="1" applyBorder="1" applyProtection="1">
      <alignment horizontal="center" vertical="center" shrinkToFit="1"/>
      <protection locked="0" hidden="1"/>
    </xf>
    <xf numFmtId="3" fontId="31" fillId="0" borderId="44" xfId="30" applyNumberFormat="1" applyFont="1" applyBorder="1" applyAlignment="1" applyProtection="1">
      <alignment horizontal="center" vertical="center"/>
      <protection locked="0" hidden="1"/>
    </xf>
    <xf numFmtId="173" fontId="114" fillId="5" borderId="147" xfId="29" applyNumberFormat="1" applyFont="1" applyFill="1" applyBorder="1" applyAlignment="1" applyProtection="1">
      <alignment horizontal="center" vertical="center" shrinkToFit="1"/>
      <protection hidden="1"/>
    </xf>
    <xf numFmtId="173" fontId="114" fillId="5" borderId="151" xfId="29" applyNumberFormat="1" applyFont="1" applyFill="1" applyBorder="1" applyAlignment="1" applyProtection="1">
      <alignment horizontal="center" vertical="center" shrinkToFit="1"/>
      <protection hidden="1"/>
    </xf>
    <xf numFmtId="173" fontId="114" fillId="5" borderId="148" xfId="29" applyNumberFormat="1" applyFont="1" applyFill="1" applyBorder="1" applyAlignment="1" applyProtection="1">
      <alignment horizontal="center" vertical="center" shrinkToFit="1"/>
      <protection hidden="1"/>
    </xf>
    <xf numFmtId="0" fontId="46" fillId="8" borderId="0" xfId="30" applyFont="1" applyFill="1" applyAlignment="1" applyProtection="1">
      <alignment horizontal="right" vertical="center"/>
      <protection hidden="1"/>
    </xf>
    <xf numFmtId="0" fontId="88" fillId="8" borderId="0" xfId="30" applyFont="1" applyFill="1" applyAlignment="1" applyProtection="1">
      <alignment horizontal="right" vertical="center"/>
      <protection hidden="1"/>
    </xf>
    <xf numFmtId="171" fontId="102" fillId="5" borderId="101" xfId="30" applyNumberFormat="1" applyFont="1" applyFill="1" applyBorder="1" applyAlignment="1" applyProtection="1">
      <alignment horizontal="center" vertical="center" shrinkToFit="1"/>
      <protection hidden="1"/>
    </xf>
    <xf numFmtId="169" fontId="17" fillId="22" borderId="110" xfId="30" applyNumberFormat="1" applyFont="1" applyFill="1" applyBorder="1" applyAlignment="1" applyProtection="1">
      <alignment horizontal="center" vertical="center"/>
      <protection hidden="1"/>
    </xf>
    <xf numFmtId="169" fontId="17" fillId="22" borderId="111" xfId="30" applyNumberFormat="1" applyFont="1" applyFill="1" applyBorder="1" applyAlignment="1" applyProtection="1">
      <alignment horizontal="center" vertical="center"/>
      <protection hidden="1"/>
    </xf>
    <xf numFmtId="0" fontId="17" fillId="23" borderId="98" xfId="30" applyFont="1" applyFill="1" applyBorder="1" applyAlignment="1" applyProtection="1">
      <alignment horizontal="center" vertical="center"/>
      <protection hidden="1"/>
    </xf>
    <xf numFmtId="0" fontId="17" fillId="23" borderId="100" xfId="30" applyFont="1" applyFill="1" applyBorder="1" applyAlignment="1" applyProtection="1">
      <alignment horizontal="center" vertical="center"/>
      <protection hidden="1"/>
    </xf>
    <xf numFmtId="171" fontId="23" fillId="5" borderId="101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102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16" xfId="30" applyNumberFormat="1" applyFont="1" applyFill="1" applyBorder="1" applyAlignment="1" applyProtection="1">
      <alignment horizontal="center" vertical="center" shrinkToFit="1"/>
      <protection hidden="1"/>
    </xf>
    <xf numFmtId="0" fontId="60" fillId="26" borderId="44" xfId="30" applyFont="1" applyFill="1" applyBorder="1" applyAlignment="1" applyProtection="1">
      <alignment horizontal="center" vertical="center"/>
      <protection hidden="1"/>
    </xf>
    <xf numFmtId="0" fontId="60" fillId="27" borderId="44" xfId="30" applyFont="1" applyFill="1" applyBorder="1" applyAlignment="1" applyProtection="1">
      <alignment horizontal="center" vertical="center"/>
      <protection hidden="1"/>
    </xf>
    <xf numFmtId="171" fontId="23" fillId="5" borderId="124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123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24" xfId="30" applyNumberFormat="1" applyFont="1" applyFill="1" applyBorder="1" applyAlignment="1" applyProtection="1">
      <alignment horizontal="center" vertical="center" shrinkToFit="1"/>
      <protection hidden="1"/>
    </xf>
    <xf numFmtId="171" fontId="102" fillId="5" borderId="104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104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105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116" xfId="30" applyNumberFormat="1" applyFont="1" applyFill="1" applyBorder="1" applyAlignment="1" applyProtection="1">
      <alignment horizontal="center" vertical="center" shrinkToFit="1"/>
      <protection hidden="1"/>
    </xf>
    <xf numFmtId="171" fontId="23" fillId="5" borderId="117" xfId="30" applyNumberFormat="1" applyFont="1" applyFill="1" applyBorder="1" applyAlignment="1" applyProtection="1">
      <alignment horizontal="center" vertical="center" shrinkToFit="1"/>
      <protection hidden="1"/>
    </xf>
    <xf numFmtId="0" fontId="23" fillId="0" borderId="0" xfId="28" applyFont="1" applyProtection="1">
      <alignment horizontal="center" vertical="center" shrinkToFit="1"/>
      <protection hidden="1"/>
    </xf>
    <xf numFmtId="171" fontId="23" fillId="0" borderId="0" xfId="28" applyNumberFormat="1" applyFont="1" applyProtection="1">
      <alignment horizontal="center" vertical="center" shrinkToFit="1"/>
      <protection hidden="1"/>
    </xf>
    <xf numFmtId="0" fontId="58" fillId="0" borderId="0" xfId="30" applyFont="1" applyAlignment="1" applyProtection="1">
      <alignment horizontal="center" vertical="center"/>
      <protection hidden="1"/>
    </xf>
    <xf numFmtId="0" fontId="101" fillId="8" borderId="0" xfId="30" applyFont="1" applyFill="1" applyAlignment="1" applyProtection="1">
      <alignment horizontal="center" vertical="center"/>
      <protection hidden="1"/>
    </xf>
    <xf numFmtId="0" fontId="46" fillId="8" borderId="0" xfId="28" applyFont="1" applyFill="1" applyProtection="1">
      <alignment horizontal="center" vertical="center" shrinkToFit="1"/>
      <protection hidden="1"/>
    </xf>
    <xf numFmtId="0" fontId="102" fillId="5" borderId="152" xfId="28" applyFont="1" applyFill="1" applyBorder="1" applyProtection="1">
      <alignment horizontal="center" vertical="center" shrinkToFit="1"/>
      <protection hidden="1"/>
    </xf>
    <xf numFmtId="0" fontId="102" fillId="5" borderId="153" xfId="28" applyFont="1" applyFill="1" applyBorder="1" applyProtection="1">
      <alignment horizontal="center" vertical="center" shrinkToFit="1"/>
      <protection hidden="1"/>
    </xf>
    <xf numFmtId="164" fontId="23" fillId="0" borderId="0" xfId="30" applyNumberFormat="1" applyFont="1" applyAlignment="1" applyProtection="1">
      <alignment horizontal="center" vertical="center" shrinkToFit="1"/>
      <protection hidden="1"/>
    </xf>
    <xf numFmtId="0" fontId="23" fillId="0" borderId="0" xfId="30" applyFont="1" applyAlignment="1" applyProtection="1">
      <alignment horizontal="center" vertical="center" shrinkToFit="1"/>
      <protection hidden="1"/>
    </xf>
    <xf numFmtId="164" fontId="46" fillId="11" borderId="147" xfId="28" applyNumberFormat="1" applyFont="1" applyFill="1" applyBorder="1" applyProtection="1">
      <alignment horizontal="center" vertical="center" shrinkToFit="1"/>
      <protection hidden="1"/>
    </xf>
    <xf numFmtId="164" fontId="46" fillId="11" borderId="151" xfId="28" applyNumberFormat="1" applyFont="1" applyFill="1" applyBorder="1" applyProtection="1">
      <alignment horizontal="center" vertical="center" shrinkToFit="1"/>
      <protection hidden="1"/>
    </xf>
    <xf numFmtId="164" fontId="46" fillId="11" borderId="148" xfId="28" applyNumberFormat="1" applyFont="1" applyFill="1" applyBorder="1" applyProtection="1">
      <alignment horizontal="center" vertical="center" shrinkToFit="1"/>
      <protection hidden="1"/>
    </xf>
    <xf numFmtId="0" fontId="23" fillId="0" borderId="0" xfId="30" applyFont="1" applyAlignment="1" applyProtection="1">
      <alignment horizontal="center" vertical="center"/>
      <protection hidden="1"/>
    </xf>
    <xf numFmtId="171" fontId="102" fillId="5" borderId="152" xfId="28" applyNumberFormat="1" applyFont="1" applyFill="1" applyBorder="1" applyProtection="1">
      <alignment horizontal="center" vertical="center" shrinkToFit="1"/>
      <protection hidden="1"/>
    </xf>
    <xf numFmtId="171" fontId="102" fillId="5" borderId="153" xfId="28" applyNumberFormat="1" applyFont="1" applyFill="1" applyBorder="1" applyProtection="1">
      <alignment horizontal="center" vertical="center" shrinkToFit="1"/>
      <protection hidden="1"/>
    </xf>
    <xf numFmtId="0" fontId="53" fillId="22" borderId="66" xfId="28" applyFont="1" applyFill="1" applyBorder="1" applyProtection="1">
      <alignment horizontal="center" vertical="center" shrinkToFit="1"/>
      <protection hidden="1"/>
    </xf>
    <xf numFmtId="0" fontId="53" fillId="22" borderId="68" xfId="28" applyFont="1" applyFill="1" applyBorder="1" applyProtection="1">
      <alignment horizontal="center" vertical="center" shrinkToFit="1"/>
      <protection hidden="1"/>
    </xf>
    <xf numFmtId="164" fontId="46" fillId="11" borderId="143" xfId="30" applyNumberFormat="1" applyFont="1" applyFill="1" applyBorder="1" applyAlignment="1" applyProtection="1">
      <alignment horizontal="center" vertical="center" shrinkToFit="1"/>
      <protection hidden="1"/>
    </xf>
    <xf numFmtId="0" fontId="46" fillId="11" borderId="149" xfId="30" applyFont="1" applyFill="1" applyBorder="1" applyAlignment="1" applyProtection="1">
      <alignment horizontal="center" vertical="center" shrinkToFit="1"/>
      <protection hidden="1"/>
    </xf>
    <xf numFmtId="0" fontId="46" fillId="11" borderId="144" xfId="30" applyFont="1" applyFill="1" applyBorder="1" applyAlignment="1" applyProtection="1">
      <alignment horizontal="center" vertical="center" shrinkToFit="1"/>
      <protection hidden="1"/>
    </xf>
    <xf numFmtId="0" fontId="45" fillId="0" borderId="44" xfId="30" applyFont="1" applyBorder="1" applyAlignment="1" applyProtection="1">
      <alignment horizontal="center" vertical="center"/>
      <protection hidden="1"/>
    </xf>
    <xf numFmtId="0" fontId="26" fillId="22" borderId="53" xfId="39" applyFont="1" applyFill="1" applyBorder="1" applyProtection="1">
      <alignment horizontal="center" vertical="center" shrinkToFit="1"/>
      <protection hidden="1"/>
    </xf>
    <xf numFmtId="0" fontId="26" fillId="22" borderId="139" xfId="39" applyFont="1" applyFill="1" applyBorder="1" applyProtection="1">
      <alignment horizontal="center" vertical="center" shrinkToFit="1"/>
      <protection hidden="1"/>
    </xf>
    <xf numFmtId="0" fontId="26" fillId="22" borderId="66" xfId="39" applyFont="1" applyFill="1" applyBorder="1" applyProtection="1">
      <alignment horizontal="center" vertical="center" shrinkToFit="1"/>
      <protection hidden="1"/>
    </xf>
    <xf numFmtId="0" fontId="26" fillId="22" borderId="142" xfId="39" applyFont="1" applyFill="1" applyBorder="1" applyProtection="1">
      <alignment horizontal="center" vertical="center" shrinkToFit="1"/>
      <protection hidden="1"/>
    </xf>
    <xf numFmtId="170" fontId="17" fillId="22" borderId="44" xfId="30" applyNumberFormat="1" applyFont="1" applyFill="1" applyBorder="1" applyAlignment="1" applyProtection="1">
      <alignment horizontal="center" vertical="center"/>
      <protection hidden="1"/>
    </xf>
    <xf numFmtId="170" fontId="23" fillId="3" borderId="0" xfId="30" applyNumberFormat="1" applyFont="1" applyFill="1" applyAlignment="1" applyProtection="1">
      <alignment horizontal="left" vertical="center"/>
      <protection hidden="1"/>
    </xf>
    <xf numFmtId="0" fontId="90" fillId="5" borderId="69" xfId="30" applyFont="1" applyFill="1" applyBorder="1" applyAlignment="1" applyProtection="1">
      <alignment horizontal="center" vertical="center"/>
      <protection hidden="1"/>
    </xf>
    <xf numFmtId="0" fontId="90" fillId="5" borderId="70" xfId="30" applyFont="1" applyFill="1" applyBorder="1" applyAlignment="1" applyProtection="1">
      <alignment horizontal="center" vertical="center"/>
      <protection hidden="1"/>
    </xf>
    <xf numFmtId="171" fontId="90" fillId="5" borderId="44" xfId="30" applyNumberFormat="1" applyFont="1" applyFill="1" applyBorder="1" applyAlignment="1" applyProtection="1">
      <alignment horizontal="center" vertical="center" shrinkToFit="1"/>
      <protection hidden="1"/>
    </xf>
    <xf numFmtId="0" fontId="53" fillId="22" borderId="142" xfId="28" applyFont="1" applyFill="1" applyBorder="1" applyProtection="1">
      <alignment horizontal="center" vertical="center" shrinkToFit="1"/>
      <protection hidden="1"/>
    </xf>
    <xf numFmtId="0" fontId="45" fillId="0" borderId="47" xfId="28" applyFont="1" applyBorder="1" applyProtection="1">
      <alignment horizontal="center" vertical="center" shrinkToFit="1"/>
      <protection locked="0" hidden="1"/>
    </xf>
    <xf numFmtId="0" fontId="45" fillId="0" borderId="56" xfId="28" applyFont="1" applyBorder="1" applyProtection="1">
      <alignment horizontal="center" vertical="center" shrinkToFit="1"/>
      <protection locked="0" hidden="1"/>
    </xf>
    <xf numFmtId="0" fontId="28" fillId="0" borderId="44" xfId="30" applyFont="1" applyBorder="1" applyAlignment="1" applyProtection="1">
      <alignment horizontal="center" vertical="center" shrinkToFit="1"/>
      <protection locked="0" hidden="1"/>
    </xf>
    <xf numFmtId="0" fontId="42" fillId="22" borderId="40" xfId="27" applyFont="1" applyFill="1" applyBorder="1" applyAlignment="1" applyProtection="1">
      <alignment horizontal="center" vertical="center"/>
      <protection hidden="1"/>
    </xf>
    <xf numFmtId="41" fontId="23" fillId="5" borderId="83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76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77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67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68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69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58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6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20" xfId="27" applyNumberFormat="1" applyFont="1" applyFill="1" applyBorder="1" applyAlignment="1" applyProtection="1">
      <alignment horizontal="center" vertical="center" shrinkToFit="1"/>
      <protection hidden="1"/>
    </xf>
    <xf numFmtId="9" fontId="23" fillId="11" borderId="95" xfId="27" applyNumberFormat="1" applyFont="1" applyFill="1" applyBorder="1" applyAlignment="1" applyProtection="1">
      <alignment horizontal="center" vertical="center" shrinkToFit="1"/>
      <protection hidden="1"/>
    </xf>
    <xf numFmtId="9" fontId="23" fillId="11" borderId="33" xfId="27" applyNumberFormat="1" applyFont="1" applyFill="1" applyBorder="1" applyAlignment="1" applyProtection="1">
      <alignment horizontal="center" vertical="center" shrinkToFit="1"/>
      <protection hidden="1"/>
    </xf>
    <xf numFmtId="41" fontId="23" fillId="0" borderId="53" xfId="27" applyNumberFormat="1" applyFont="1" applyBorder="1" applyAlignment="1" applyProtection="1">
      <alignment horizontal="center" vertical="center" shrinkToFit="1"/>
      <protection hidden="1"/>
    </xf>
    <xf numFmtId="41" fontId="23" fillId="0" borderId="138" xfId="27" applyNumberFormat="1" applyFont="1" applyBorder="1" applyAlignment="1" applyProtection="1">
      <alignment horizontal="center" vertical="center" shrinkToFit="1"/>
      <protection hidden="1"/>
    </xf>
    <xf numFmtId="41" fontId="23" fillId="0" borderId="172" xfId="27" applyNumberFormat="1" applyFont="1" applyBorder="1" applyAlignment="1" applyProtection="1">
      <alignment horizontal="center" vertical="center" shrinkToFit="1"/>
      <protection hidden="1"/>
    </xf>
    <xf numFmtId="41" fontId="23" fillId="0" borderId="140" xfId="27" applyNumberFormat="1" applyFont="1" applyBorder="1" applyAlignment="1" applyProtection="1">
      <alignment horizontal="center" vertical="center" shrinkToFit="1"/>
      <protection hidden="1"/>
    </xf>
    <xf numFmtId="41" fontId="23" fillId="0" borderId="0" xfId="27" applyNumberFormat="1" applyFont="1" applyAlignment="1" applyProtection="1">
      <alignment horizontal="center" vertical="center" shrinkToFit="1"/>
      <protection hidden="1"/>
    </xf>
    <xf numFmtId="41" fontId="23" fillId="0" borderId="160" xfId="27" applyNumberFormat="1" applyFont="1" applyBorder="1" applyAlignment="1" applyProtection="1">
      <alignment horizontal="center" vertical="center" shrinkToFit="1"/>
      <protection hidden="1"/>
    </xf>
    <xf numFmtId="41" fontId="23" fillId="0" borderId="158" xfId="27" applyNumberFormat="1" applyFont="1" applyBorder="1" applyAlignment="1" applyProtection="1">
      <alignment horizontal="center" vertical="center" shrinkToFit="1"/>
      <protection hidden="1"/>
    </xf>
    <xf numFmtId="41" fontId="23" fillId="0" borderId="6" xfId="27" applyNumberFormat="1" applyFont="1" applyBorder="1" applyAlignment="1" applyProtection="1">
      <alignment horizontal="center" vertical="center" shrinkToFit="1"/>
      <protection hidden="1"/>
    </xf>
    <xf numFmtId="41" fontId="23" fillId="0" borderId="161" xfId="27" applyNumberFormat="1" applyFont="1" applyBorder="1" applyAlignment="1" applyProtection="1">
      <alignment horizontal="center" vertical="center" shrinkToFit="1"/>
      <protection hidden="1"/>
    </xf>
    <xf numFmtId="0" fontId="26" fillId="22" borderId="3" xfId="27" applyFont="1" applyFill="1" applyBorder="1" applyAlignment="1" applyProtection="1">
      <alignment horizontal="center" vertical="center" shrinkToFit="1"/>
      <protection hidden="1"/>
    </xf>
    <xf numFmtId="0" fontId="26" fillId="22" borderId="2" xfId="27" applyFont="1" applyFill="1" applyBorder="1" applyAlignment="1" applyProtection="1">
      <alignment horizontal="center" vertical="center" shrinkToFit="1"/>
      <protection hidden="1"/>
    </xf>
    <xf numFmtId="0" fontId="26" fillId="22" borderId="8" xfId="27" applyFont="1" applyFill="1" applyBorder="1" applyAlignment="1" applyProtection="1">
      <alignment horizontal="center" vertical="center" shrinkToFit="1"/>
      <protection hidden="1"/>
    </xf>
    <xf numFmtId="171" fontId="17" fillId="15" borderId="66" xfId="27" applyNumberFormat="1" applyFont="1" applyFill="1" applyBorder="1" applyAlignment="1" applyProtection="1">
      <alignment horizontal="center" vertical="center" shrinkToFit="1"/>
      <protection hidden="1"/>
    </xf>
    <xf numFmtId="171" fontId="17" fillId="15" borderId="68" xfId="27" applyNumberFormat="1" applyFont="1" applyFill="1" applyBorder="1" applyAlignment="1" applyProtection="1">
      <alignment horizontal="center" vertical="center" shrinkToFit="1"/>
      <protection hidden="1"/>
    </xf>
    <xf numFmtId="0" fontId="26" fillId="15" borderId="42" xfId="27" applyFont="1" applyFill="1" applyBorder="1" applyAlignment="1" applyProtection="1">
      <alignment horizontal="center" vertical="center" shrinkToFit="1"/>
      <protection hidden="1"/>
    </xf>
    <xf numFmtId="0" fontId="26" fillId="15" borderId="95" xfId="27" applyFont="1" applyFill="1" applyBorder="1" applyAlignment="1" applyProtection="1">
      <alignment horizontal="center" vertical="center" shrinkToFit="1"/>
      <protection hidden="1"/>
    </xf>
    <xf numFmtId="0" fontId="26" fillId="15" borderId="33" xfId="27" applyFont="1" applyFill="1" applyBorder="1" applyAlignment="1" applyProtection="1">
      <alignment horizontal="center" vertical="center" shrinkToFit="1"/>
      <protection hidden="1"/>
    </xf>
    <xf numFmtId="0" fontId="25" fillId="23" borderId="34" xfId="27" applyFont="1" applyFill="1" applyBorder="1" applyAlignment="1" applyProtection="1">
      <alignment horizontal="center" vertical="center" shrinkToFit="1"/>
      <protection hidden="1"/>
    </xf>
    <xf numFmtId="0" fontId="25" fillId="23" borderId="58" xfId="27" applyFont="1" applyFill="1" applyBorder="1" applyAlignment="1" applyProtection="1">
      <alignment horizontal="center" vertical="center" shrinkToFit="1"/>
      <protection hidden="1"/>
    </xf>
    <xf numFmtId="164" fontId="23" fillId="5" borderId="83" xfId="27" applyNumberFormat="1" applyFont="1" applyFill="1" applyBorder="1" applyAlignment="1" applyProtection="1">
      <alignment horizontal="right" vertical="center" shrinkToFit="1"/>
      <protection hidden="1"/>
    </xf>
    <xf numFmtId="164" fontId="23" fillId="5" borderId="176" xfId="27" applyNumberFormat="1" applyFont="1" applyFill="1" applyBorder="1" applyAlignment="1" applyProtection="1">
      <alignment horizontal="right" vertical="center" shrinkToFit="1"/>
      <protection hidden="1"/>
    </xf>
    <xf numFmtId="164" fontId="23" fillId="5" borderId="177" xfId="27" applyNumberFormat="1" applyFont="1" applyFill="1" applyBorder="1" applyAlignment="1" applyProtection="1">
      <alignment horizontal="right" vertical="center" shrinkToFit="1"/>
      <protection hidden="1"/>
    </xf>
    <xf numFmtId="41" fontId="23" fillId="5" borderId="84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62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63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64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65" xfId="27" applyNumberFormat="1" applyFont="1" applyFill="1" applyBorder="1" applyAlignment="1" applyProtection="1">
      <alignment horizontal="center" vertical="center" shrinkToFit="1"/>
      <protection hidden="1"/>
    </xf>
    <xf numFmtId="41" fontId="23" fillId="5" borderId="166" xfId="27" applyNumberFormat="1" applyFont="1" applyFill="1" applyBorder="1" applyAlignment="1" applyProtection="1">
      <alignment horizontal="center" vertical="center" shrinkToFit="1"/>
      <protection hidden="1"/>
    </xf>
    <xf numFmtId="0" fontId="25" fillId="22" borderId="92" xfId="27" applyFont="1" applyFill="1" applyBorder="1" applyAlignment="1" applyProtection="1">
      <alignment horizontal="left" vertical="center" shrinkToFit="1"/>
      <protection hidden="1"/>
    </xf>
    <xf numFmtId="0" fontId="25" fillId="22" borderId="89" xfId="27" applyFont="1" applyFill="1" applyBorder="1" applyAlignment="1" applyProtection="1">
      <alignment horizontal="left" vertical="center" shrinkToFit="1"/>
      <protection hidden="1"/>
    </xf>
    <xf numFmtId="0" fontId="25" fillId="15" borderId="92" xfId="27" applyFont="1" applyFill="1" applyBorder="1" applyAlignment="1" applyProtection="1">
      <alignment horizontal="center" vertical="center" shrinkToFit="1"/>
      <protection hidden="1"/>
    </xf>
    <xf numFmtId="0" fontId="25" fillId="15" borderId="89" xfId="27" applyFont="1" applyFill="1" applyBorder="1" applyAlignment="1" applyProtection="1">
      <alignment horizontal="center" vertical="center" shrinkToFit="1"/>
      <protection hidden="1"/>
    </xf>
    <xf numFmtId="0" fontId="25" fillId="16" borderId="43" xfId="27" applyFont="1" applyFill="1" applyBorder="1" applyAlignment="1" applyProtection="1">
      <alignment horizontal="center" vertical="center" shrinkToFit="1"/>
      <protection hidden="1"/>
    </xf>
    <xf numFmtId="0" fontId="25" fillId="16" borderId="44" xfId="27" applyFont="1" applyFill="1" applyBorder="1" applyAlignment="1" applyProtection="1">
      <alignment horizontal="center" vertical="center" shrinkToFit="1"/>
      <protection hidden="1"/>
    </xf>
    <xf numFmtId="0" fontId="25" fillId="22" borderId="43" xfId="27" applyFont="1" applyFill="1" applyBorder="1" applyAlignment="1" applyProtection="1">
      <alignment horizontal="center" vertical="center" shrinkToFit="1"/>
      <protection hidden="1"/>
    </xf>
    <xf numFmtId="0" fontId="25" fillId="22" borderId="44" xfId="27" applyFont="1" applyFill="1" applyBorder="1" applyAlignment="1" applyProtection="1">
      <alignment horizontal="center" vertical="center" shrinkToFit="1"/>
      <protection hidden="1"/>
    </xf>
    <xf numFmtId="166" fontId="24" fillId="11" borderId="84" xfId="27" applyNumberFormat="1" applyFont="1" applyFill="1" applyBorder="1" applyAlignment="1" applyProtection="1">
      <alignment horizontal="center" vertical="center" shrinkToFit="1"/>
      <protection hidden="1"/>
    </xf>
    <xf numFmtId="166" fontId="24" fillId="11" borderId="162" xfId="27" applyNumberFormat="1" applyFont="1" applyFill="1" applyBorder="1" applyAlignment="1" applyProtection="1">
      <alignment horizontal="center" vertical="center" shrinkToFit="1"/>
      <protection hidden="1"/>
    </xf>
    <xf numFmtId="166" fontId="24" fillId="11" borderId="171" xfId="27" applyNumberFormat="1" applyFont="1" applyFill="1" applyBorder="1" applyAlignment="1" applyProtection="1">
      <alignment horizontal="center" vertical="center" shrinkToFit="1"/>
      <protection hidden="1"/>
    </xf>
    <xf numFmtId="166" fontId="24" fillId="5" borderId="84" xfId="27" applyNumberFormat="1" applyFont="1" applyFill="1" applyBorder="1" applyAlignment="1" applyProtection="1">
      <alignment horizontal="center" vertical="center" shrinkToFit="1"/>
      <protection hidden="1"/>
    </xf>
    <xf numFmtId="166" fontId="24" fillId="5" borderId="163" xfId="27" applyNumberFormat="1" applyFont="1" applyFill="1" applyBorder="1" applyAlignment="1" applyProtection="1">
      <alignment horizontal="center" vertical="center" shrinkToFit="1"/>
      <protection hidden="1"/>
    </xf>
    <xf numFmtId="0" fontId="25" fillId="22" borderId="17" xfId="27" applyFont="1" applyFill="1" applyBorder="1" applyAlignment="1" applyProtection="1">
      <alignment horizontal="center" vertical="center" shrinkToFit="1"/>
      <protection hidden="1"/>
    </xf>
    <xf numFmtId="0" fontId="25" fillId="22" borderId="40" xfId="27" applyFont="1" applyFill="1" applyBorder="1" applyAlignment="1" applyProtection="1">
      <alignment horizontal="center" vertical="center" shrinkToFit="1"/>
      <protection hidden="1"/>
    </xf>
    <xf numFmtId="0" fontId="25" fillId="22" borderId="27" xfId="27" applyFont="1" applyFill="1" applyBorder="1" applyAlignment="1" applyProtection="1">
      <alignment horizontal="center" vertical="center" shrinkToFit="1"/>
      <protection hidden="1"/>
    </xf>
    <xf numFmtId="0" fontId="108" fillId="11" borderId="44" xfId="43" applyFont="1" applyFill="1" applyBorder="1" applyAlignment="1" applyProtection="1">
      <alignment horizontal="center" vertical="center" shrinkToFit="1"/>
      <protection hidden="1"/>
    </xf>
    <xf numFmtId="0" fontId="98" fillId="8" borderId="0" xfId="30" applyFont="1" applyFill="1" applyAlignment="1" applyProtection="1">
      <alignment horizontal="center" vertical="center"/>
      <protection hidden="1"/>
    </xf>
    <xf numFmtId="0" fontId="97" fillId="8" borderId="0" xfId="30" applyFont="1" applyFill="1" applyAlignment="1" applyProtection="1">
      <alignment horizontal="left" vertical="center"/>
      <protection hidden="1"/>
    </xf>
    <xf numFmtId="0" fontId="97" fillId="8" borderId="0" xfId="30" applyFont="1" applyFill="1" applyAlignment="1" applyProtection="1">
      <alignment horizontal="left" vertical="center" shrinkToFit="1"/>
      <protection hidden="1"/>
    </xf>
    <xf numFmtId="0" fontId="45" fillId="0" borderId="44" xfId="30" applyFont="1" applyBorder="1" applyAlignment="1" applyProtection="1">
      <alignment horizontal="center" vertical="center" shrinkToFit="1"/>
      <protection hidden="1"/>
    </xf>
    <xf numFmtId="0" fontId="71" fillId="22" borderId="17" xfId="30" applyFont="1" applyFill="1" applyBorder="1" applyAlignment="1" applyProtection="1">
      <alignment horizontal="center" vertical="center"/>
      <protection hidden="1"/>
    </xf>
    <xf numFmtId="0" fontId="71" fillId="22" borderId="184" xfId="30" applyFont="1" applyFill="1" applyBorder="1" applyAlignment="1" applyProtection="1">
      <alignment horizontal="center" vertical="center"/>
      <protection hidden="1"/>
    </xf>
    <xf numFmtId="3" fontId="71" fillId="23" borderId="45" xfId="30" applyNumberFormat="1" applyFont="1" applyFill="1" applyBorder="1" applyAlignment="1" applyProtection="1">
      <alignment horizontal="center" vertical="center" shrinkToFit="1"/>
      <protection hidden="1"/>
    </xf>
    <xf numFmtId="3" fontId="71" fillId="23" borderId="60" xfId="30" applyNumberFormat="1" applyFont="1" applyFill="1" applyBorder="1" applyAlignment="1" applyProtection="1">
      <alignment horizontal="center" vertical="center" shrinkToFit="1"/>
      <protection hidden="1"/>
    </xf>
    <xf numFmtId="0" fontId="34" fillId="23" borderId="45" xfId="30" applyFont="1" applyFill="1" applyBorder="1" applyAlignment="1" applyProtection="1">
      <alignment horizontal="right" vertical="center" shrinkToFit="1"/>
      <protection hidden="1"/>
    </xf>
    <xf numFmtId="0" fontId="34" fillId="23" borderId="46" xfId="30" applyFont="1" applyFill="1" applyBorder="1" applyAlignment="1" applyProtection="1">
      <alignment horizontal="right" vertical="center" shrinkToFit="1"/>
      <protection hidden="1"/>
    </xf>
    <xf numFmtId="0" fontId="34" fillId="23" borderId="48" xfId="30" applyFont="1" applyFill="1" applyBorder="1" applyAlignment="1" applyProtection="1">
      <alignment horizontal="right" vertical="center" shrinkToFit="1"/>
      <protection hidden="1"/>
    </xf>
    <xf numFmtId="0" fontId="28" fillId="0" borderId="44" xfId="0" applyFont="1" applyBorder="1" applyAlignment="1" applyProtection="1">
      <alignment horizontal="center" vertical="center" shrinkToFit="1"/>
      <protection hidden="1"/>
    </xf>
    <xf numFmtId="0" fontId="71" fillId="22" borderId="40" xfId="30" applyFont="1" applyFill="1" applyBorder="1" applyAlignment="1" applyProtection="1">
      <alignment horizontal="center" vertical="center"/>
      <protection hidden="1"/>
    </xf>
    <xf numFmtId="0" fontId="108" fillId="11" borderId="53" xfId="43" applyFont="1" applyFill="1" applyBorder="1" applyAlignment="1" applyProtection="1">
      <alignment horizontal="center" vertical="center" shrinkToFit="1"/>
      <protection hidden="1"/>
    </xf>
    <xf numFmtId="0" fontId="108" fillId="11" borderId="139" xfId="43" applyFont="1" applyFill="1" applyBorder="1" applyAlignment="1" applyProtection="1">
      <alignment horizontal="center" vertical="center" shrinkToFit="1"/>
      <protection hidden="1"/>
    </xf>
    <xf numFmtId="0" fontId="108" fillId="11" borderId="66" xfId="43" applyFont="1" applyFill="1" applyBorder="1" applyAlignment="1" applyProtection="1">
      <alignment horizontal="center" vertical="center" shrinkToFit="1"/>
      <protection hidden="1"/>
    </xf>
    <xf numFmtId="0" fontId="108" fillId="11" borderId="142" xfId="43" applyFont="1" applyFill="1" applyBorder="1" applyAlignment="1" applyProtection="1">
      <alignment horizontal="center" vertical="center" shrinkToFit="1"/>
      <protection hidden="1"/>
    </xf>
    <xf numFmtId="0" fontId="34" fillId="23" borderId="43" xfId="0" applyFont="1" applyFill="1" applyBorder="1" applyAlignment="1" applyProtection="1">
      <alignment horizontal="right" vertical="center" shrinkToFit="1"/>
      <protection hidden="1"/>
    </xf>
    <xf numFmtId="0" fontId="34" fillId="23" borderId="44" xfId="0" applyFont="1" applyFill="1" applyBorder="1" applyAlignment="1" applyProtection="1">
      <alignment horizontal="right" vertical="center" shrinkToFit="1"/>
      <protection hidden="1"/>
    </xf>
    <xf numFmtId="0" fontId="121" fillId="25" borderId="17" xfId="0" applyFont="1" applyFill="1" applyBorder="1" applyAlignment="1" applyProtection="1">
      <alignment horizontal="center" vertical="center"/>
      <protection hidden="1"/>
    </xf>
    <xf numFmtId="0" fontId="121" fillId="25" borderId="40" xfId="0" applyFont="1" applyFill="1" applyBorder="1" applyAlignment="1" applyProtection="1">
      <alignment horizontal="center" vertical="center"/>
      <protection hidden="1"/>
    </xf>
    <xf numFmtId="0" fontId="121" fillId="25" borderId="27" xfId="0" applyFont="1" applyFill="1" applyBorder="1" applyAlignment="1" applyProtection="1">
      <alignment horizontal="center" vertical="center"/>
      <protection hidden="1"/>
    </xf>
    <xf numFmtId="0" fontId="34" fillId="4" borderId="45" xfId="0" applyFont="1" applyFill="1" applyBorder="1" applyAlignment="1" applyProtection="1">
      <alignment horizontal="right" vertical="center" shrinkToFit="1"/>
      <protection hidden="1"/>
    </xf>
    <xf numFmtId="0" fontId="34" fillId="4" borderId="46" xfId="0" applyFont="1" applyFill="1" applyBorder="1" applyAlignment="1" applyProtection="1">
      <alignment horizontal="right" vertical="center" shrinkToFit="1"/>
      <protection hidden="1"/>
    </xf>
    <xf numFmtId="0" fontId="34" fillId="23" borderId="35" xfId="0" applyFont="1" applyFill="1" applyBorder="1" applyAlignment="1" applyProtection="1">
      <alignment horizontal="right" vertical="center" shrinkToFit="1"/>
      <protection hidden="1"/>
    </xf>
    <xf numFmtId="0" fontId="34" fillId="23" borderId="56" xfId="0" applyFont="1" applyFill="1" applyBorder="1" applyAlignment="1" applyProtection="1">
      <alignment horizontal="right" vertical="center" shrinkToFit="1"/>
      <protection hidden="1"/>
    </xf>
    <xf numFmtId="0" fontId="34" fillId="22" borderId="43" xfId="0" applyFont="1" applyFill="1" applyBorder="1" applyAlignment="1" applyProtection="1">
      <alignment horizontal="right" vertical="center" shrinkToFit="1"/>
      <protection hidden="1"/>
    </xf>
    <xf numFmtId="0" fontId="34" fillId="22" borderId="44" xfId="0" applyFont="1" applyFill="1" applyBorder="1" applyAlignment="1" applyProtection="1">
      <alignment horizontal="right" vertical="center" shrinkToFit="1"/>
      <protection hidden="1"/>
    </xf>
    <xf numFmtId="0" fontId="71" fillId="22" borderId="92" xfId="0" applyFont="1" applyFill="1" applyBorder="1" applyAlignment="1" applyProtection="1">
      <alignment horizontal="center" vertical="center" shrinkToFit="1"/>
      <protection hidden="1"/>
    </xf>
    <xf numFmtId="0" fontId="71" fillId="22" borderId="89" xfId="0" applyFont="1" applyFill="1" applyBorder="1" applyAlignment="1" applyProtection="1">
      <alignment horizontal="center" vertical="center" shrinkToFit="1"/>
      <protection hidden="1"/>
    </xf>
    <xf numFmtId="0" fontId="34" fillId="23" borderId="63" xfId="0" applyFont="1" applyFill="1" applyBorder="1" applyAlignment="1" applyProtection="1">
      <alignment horizontal="right" vertical="center" shrinkToFit="1"/>
      <protection hidden="1"/>
    </xf>
    <xf numFmtId="0" fontId="34" fillId="23" borderId="67" xfId="0" applyFont="1" applyFill="1" applyBorder="1" applyAlignment="1" applyProtection="1">
      <alignment horizontal="right" vertical="center" shrinkToFit="1"/>
      <protection hidden="1"/>
    </xf>
    <xf numFmtId="0" fontId="120" fillId="25" borderId="92" xfId="0" applyFont="1" applyFill="1" applyBorder="1" applyAlignment="1" applyProtection="1">
      <alignment horizontal="center" vertical="center" shrinkToFit="1"/>
      <protection hidden="1"/>
    </xf>
    <xf numFmtId="0" fontId="120" fillId="25" borderId="89" xfId="0" applyFont="1" applyFill="1" applyBorder="1" applyAlignment="1" applyProtection="1">
      <alignment horizontal="center" vertical="center" shrinkToFit="1"/>
      <protection hidden="1"/>
    </xf>
    <xf numFmtId="0" fontId="120" fillId="25" borderId="91" xfId="0" applyFont="1" applyFill="1" applyBorder="1" applyAlignment="1" applyProtection="1">
      <alignment horizontal="center" vertical="center" shrinkToFit="1"/>
      <protection hidden="1"/>
    </xf>
    <xf numFmtId="0" fontId="71" fillId="22" borderId="47" xfId="0" applyFont="1" applyFill="1" applyBorder="1" applyAlignment="1" applyProtection="1">
      <alignment horizontal="center" vertical="center" shrinkToFit="1"/>
      <protection hidden="1"/>
    </xf>
    <xf numFmtId="0" fontId="71" fillId="22" borderId="57" xfId="0" applyFont="1" applyFill="1" applyBorder="1" applyAlignment="1" applyProtection="1">
      <alignment horizontal="center" vertical="center" shrinkToFit="1"/>
      <protection hidden="1"/>
    </xf>
    <xf numFmtId="0" fontId="71" fillId="22" borderId="56" xfId="0" applyFont="1" applyFill="1" applyBorder="1" applyAlignment="1" applyProtection="1">
      <alignment horizontal="center" vertical="center" shrinkToFit="1"/>
      <protection hidden="1"/>
    </xf>
    <xf numFmtId="174" fontId="119" fillId="11" borderId="48" xfId="31" applyNumberFormat="1" applyFont="1" applyFill="1" applyBorder="1" applyAlignment="1" applyProtection="1">
      <alignment horizontal="center" vertical="center" shrinkToFit="1"/>
      <protection hidden="1"/>
    </xf>
    <xf numFmtId="174" fontId="119" fillId="11" borderId="178" xfId="31" applyNumberFormat="1" applyFont="1" applyFill="1" applyBorder="1" applyAlignment="1" applyProtection="1">
      <alignment horizontal="center" vertical="center" shrinkToFit="1"/>
      <protection hidden="1"/>
    </xf>
    <xf numFmtId="174" fontId="119" fillId="11" borderId="58" xfId="31" applyNumberFormat="1" applyFont="1" applyFill="1" applyBorder="1" applyAlignment="1" applyProtection="1">
      <alignment horizontal="center" vertical="center" shrinkToFit="1"/>
      <protection hidden="1"/>
    </xf>
    <xf numFmtId="0" fontId="71" fillId="22" borderId="43" xfId="0" applyFont="1" applyFill="1" applyBorder="1" applyAlignment="1" applyProtection="1">
      <alignment horizontal="right" vertical="center" shrinkToFit="1"/>
      <protection hidden="1"/>
    </xf>
    <xf numFmtId="0" fontId="71" fillId="22" borderId="44" xfId="0" applyFont="1" applyFill="1" applyBorder="1" applyAlignment="1" applyProtection="1">
      <alignment horizontal="right" vertical="center" shrinkToFit="1"/>
      <protection hidden="1"/>
    </xf>
    <xf numFmtId="0" fontId="71" fillId="22" borderId="92" xfId="0" applyFont="1" applyFill="1" applyBorder="1" applyAlignment="1" applyProtection="1">
      <alignment horizontal="right" vertical="center" shrinkToFit="1"/>
      <protection hidden="1"/>
    </xf>
    <xf numFmtId="0" fontId="71" fillId="22" borderId="89" xfId="0" applyFont="1" applyFill="1" applyBorder="1" applyAlignment="1" applyProtection="1">
      <alignment horizontal="right" vertical="center" shrinkToFit="1"/>
      <protection hidden="1"/>
    </xf>
    <xf numFmtId="0" fontId="71" fillId="22" borderId="41" xfId="0" applyFont="1" applyFill="1" applyBorder="1" applyAlignment="1" applyProtection="1">
      <alignment horizontal="right" vertical="center" shrinkToFit="1"/>
      <protection hidden="1"/>
    </xf>
    <xf numFmtId="0" fontId="71" fillId="22" borderId="49" xfId="0" applyFont="1" applyFill="1" applyBorder="1" applyAlignment="1" applyProtection="1">
      <alignment horizontal="right" vertical="center" shrinkToFit="1"/>
      <protection hidden="1"/>
    </xf>
    <xf numFmtId="0" fontId="36" fillId="5" borderId="89" xfId="0" applyFont="1" applyFill="1" applyBorder="1" applyAlignment="1" applyProtection="1">
      <alignment horizontal="center" vertical="center" shrinkToFit="1"/>
      <protection hidden="1"/>
    </xf>
    <xf numFmtId="0" fontId="36" fillId="5" borderId="91" xfId="0" applyFont="1" applyFill="1" applyBorder="1" applyAlignment="1" applyProtection="1">
      <alignment horizontal="center" vertical="center" shrinkToFit="1"/>
      <protection hidden="1"/>
    </xf>
    <xf numFmtId="0" fontId="71" fillId="22" borderId="45" xfId="0" applyFont="1" applyFill="1" applyBorder="1" applyAlignment="1" applyProtection="1">
      <alignment horizontal="right" vertical="center" shrinkToFit="1"/>
      <protection hidden="1"/>
    </xf>
    <xf numFmtId="0" fontId="71" fillId="22" borderId="46" xfId="0" applyFont="1" applyFill="1" applyBorder="1" applyAlignment="1" applyProtection="1">
      <alignment horizontal="right" vertical="center" shrinkToFit="1"/>
      <protection hidden="1"/>
    </xf>
    <xf numFmtId="171" fontId="36" fillId="5" borderId="46" xfId="0" applyNumberFormat="1" applyFont="1" applyFill="1" applyBorder="1" applyAlignment="1" applyProtection="1">
      <alignment horizontal="center" vertical="center" shrinkToFit="1"/>
      <protection hidden="1"/>
    </xf>
    <xf numFmtId="171" fontId="36" fillId="5" borderId="60" xfId="0" applyNumberFormat="1" applyFont="1" applyFill="1" applyBorder="1" applyAlignment="1" applyProtection="1">
      <alignment horizontal="center" vertical="center" shrinkToFit="1"/>
      <protection hidden="1"/>
    </xf>
    <xf numFmtId="0" fontId="36" fillId="5" borderId="44" xfId="0" applyFont="1" applyFill="1" applyBorder="1" applyAlignment="1" applyProtection="1">
      <alignment horizontal="center" vertical="center" shrinkToFit="1"/>
      <protection hidden="1"/>
    </xf>
    <xf numFmtId="0" fontId="36" fillId="5" borderId="51" xfId="0" applyFont="1" applyFill="1" applyBorder="1" applyAlignment="1" applyProtection="1">
      <alignment horizontal="center" vertical="center" shrinkToFit="1"/>
      <protection hidden="1"/>
    </xf>
    <xf numFmtId="171" fontId="36" fillId="5" borderId="44" xfId="0" applyNumberFormat="1" applyFont="1" applyFill="1" applyBorder="1" applyAlignment="1" applyProtection="1">
      <alignment horizontal="center" vertical="center" shrinkToFit="1"/>
      <protection hidden="1"/>
    </xf>
    <xf numFmtId="171" fontId="36" fillId="5" borderId="51" xfId="0" applyNumberFormat="1" applyFont="1" applyFill="1" applyBorder="1" applyAlignment="1" applyProtection="1">
      <alignment horizontal="center" vertical="center" shrinkToFit="1"/>
      <protection hidden="1"/>
    </xf>
    <xf numFmtId="0" fontId="28" fillId="0" borderId="44" xfId="0" applyFont="1" applyBorder="1" applyAlignment="1" applyProtection="1">
      <alignment horizontal="center" vertical="center"/>
      <protection hidden="1"/>
    </xf>
    <xf numFmtId="0" fontId="26" fillId="22" borderId="3" xfId="39" applyFont="1" applyFill="1" applyBorder="1" applyProtection="1">
      <alignment horizontal="center" vertical="center" shrinkToFit="1"/>
      <protection hidden="1"/>
    </xf>
    <xf numFmtId="0" fontId="26" fillId="22" borderId="67" xfId="39" applyFont="1" applyFill="1" applyBorder="1" applyProtection="1">
      <alignment horizontal="center" vertical="center" shrinkToFit="1"/>
      <protection hidden="1"/>
    </xf>
    <xf numFmtId="9" fontId="15" fillId="0" borderId="3" xfId="30" applyNumberFormat="1" applyFont="1" applyBorder="1" applyAlignment="1" applyProtection="1">
      <alignment horizontal="center" vertical="center" shrinkToFit="1"/>
      <protection locked="0" hidden="1"/>
    </xf>
    <xf numFmtId="9" fontId="15" fillId="0" borderId="67" xfId="30" applyNumberFormat="1" applyFont="1" applyBorder="1" applyAlignment="1" applyProtection="1">
      <alignment horizontal="center" vertical="center" shrinkToFit="1"/>
      <protection locked="0" hidden="1"/>
    </xf>
    <xf numFmtId="0" fontId="15" fillId="11" borderId="3" xfId="0" applyFont="1" applyFill="1" applyBorder="1" applyAlignment="1" applyProtection="1">
      <alignment horizontal="center" vertical="center"/>
      <protection locked="0" hidden="1"/>
    </xf>
    <xf numFmtId="0" fontId="15" fillId="11" borderId="2" xfId="0" applyFont="1" applyFill="1" applyBorder="1" applyAlignment="1" applyProtection="1">
      <alignment horizontal="center" vertical="center"/>
      <protection locked="0" hidden="1"/>
    </xf>
    <xf numFmtId="0" fontId="15" fillId="11" borderId="67" xfId="0" applyFont="1" applyFill="1" applyBorder="1" applyAlignment="1" applyProtection="1">
      <alignment horizontal="center" vertical="center"/>
      <protection locked="0" hidden="1"/>
    </xf>
    <xf numFmtId="9" fontId="15" fillId="5" borderId="53" xfId="39" applyNumberFormat="1" applyFont="1" applyFill="1" applyBorder="1" applyProtection="1">
      <alignment horizontal="center" vertical="center" shrinkToFit="1"/>
      <protection hidden="1"/>
    </xf>
    <xf numFmtId="9" fontId="15" fillId="5" borderId="139" xfId="39" applyNumberFormat="1" applyFont="1" applyFill="1" applyBorder="1" applyProtection="1">
      <alignment horizontal="center" vertical="center" shrinkToFit="1"/>
      <protection hidden="1"/>
    </xf>
    <xf numFmtId="9" fontId="15" fillId="5" borderId="66" xfId="39" applyNumberFormat="1" applyFont="1" applyFill="1" applyBorder="1" applyProtection="1">
      <alignment horizontal="center" vertical="center" shrinkToFit="1"/>
      <protection hidden="1"/>
    </xf>
    <xf numFmtId="9" fontId="15" fillId="5" borderId="142" xfId="39" applyNumberFormat="1" applyFont="1" applyFill="1" applyBorder="1" applyProtection="1">
      <alignment horizontal="center" vertical="center" shrinkToFit="1"/>
      <protection hidden="1"/>
    </xf>
    <xf numFmtId="1" fontId="26" fillId="23" borderId="43" xfId="0" applyNumberFormat="1" applyFont="1" applyFill="1" applyBorder="1" applyAlignment="1" applyProtection="1">
      <alignment horizontal="center" vertical="center"/>
      <protection hidden="1"/>
    </xf>
    <xf numFmtId="0" fontId="26" fillId="23" borderId="43" xfId="0" applyFont="1" applyFill="1" applyBorder="1" applyAlignment="1" applyProtection="1">
      <alignment horizontal="center" vertical="center"/>
      <protection hidden="1"/>
    </xf>
    <xf numFmtId="166" fontId="105" fillId="11" borderId="44" xfId="0" applyNumberFormat="1" applyFont="1" applyFill="1" applyBorder="1" applyAlignment="1" applyProtection="1">
      <alignment horizontal="center" vertical="center"/>
      <protection hidden="1"/>
    </xf>
    <xf numFmtId="166" fontId="15" fillId="11" borderId="51" xfId="0" applyNumberFormat="1" applyFont="1" applyFill="1" applyBorder="1" applyAlignment="1" applyProtection="1">
      <alignment horizontal="center" vertical="center"/>
      <protection hidden="1"/>
    </xf>
    <xf numFmtId="166" fontId="24" fillId="5" borderId="3" xfId="0" applyNumberFormat="1" applyFont="1" applyFill="1" applyBorder="1" applyAlignment="1" applyProtection="1">
      <alignment horizontal="center" vertical="center"/>
      <protection hidden="1"/>
    </xf>
    <xf numFmtId="166" fontId="24" fillId="5" borderId="2" xfId="0" applyNumberFormat="1" applyFont="1" applyFill="1" applyBorder="1" applyAlignment="1" applyProtection="1">
      <alignment horizontal="center" vertical="center"/>
      <protection hidden="1"/>
    </xf>
    <xf numFmtId="166" fontId="24" fillId="5" borderId="67" xfId="0" applyNumberFormat="1" applyFont="1" applyFill="1" applyBorder="1" applyAlignment="1" applyProtection="1">
      <alignment horizontal="center" vertical="center"/>
      <protection hidden="1"/>
    </xf>
    <xf numFmtId="0" fontId="15" fillId="5" borderId="43" xfId="0" applyFont="1" applyFill="1" applyBorder="1" applyAlignment="1" applyProtection="1">
      <alignment horizontal="center" vertical="center"/>
      <protection hidden="1"/>
    </xf>
    <xf numFmtId="0" fontId="15" fillId="5" borderId="44" xfId="0" applyFont="1" applyFill="1" applyBorder="1" applyAlignment="1" applyProtection="1">
      <alignment horizontal="center" vertical="center"/>
      <protection hidden="1"/>
    </xf>
    <xf numFmtId="0" fontId="15" fillId="5" borderId="51" xfId="0" applyFont="1" applyFill="1" applyBorder="1" applyAlignment="1" applyProtection="1">
      <alignment horizontal="center" vertical="center"/>
      <protection hidden="1"/>
    </xf>
    <xf numFmtId="0" fontId="26" fillId="23" borderId="44" xfId="0" applyFont="1" applyFill="1" applyBorder="1" applyAlignment="1" applyProtection="1">
      <alignment horizontal="center" vertical="center"/>
      <protection hidden="1"/>
    </xf>
    <xf numFmtId="0" fontId="26" fillId="23" borderId="45" xfId="0" applyFont="1" applyFill="1" applyBorder="1" applyAlignment="1" applyProtection="1">
      <alignment horizontal="center" vertical="center"/>
      <protection hidden="1"/>
    </xf>
    <xf numFmtId="0" fontId="26" fillId="23" borderId="46" xfId="0" applyFont="1" applyFill="1" applyBorder="1" applyAlignment="1" applyProtection="1">
      <alignment horizontal="center" vertical="center"/>
      <protection hidden="1"/>
    </xf>
    <xf numFmtId="10" fontId="25" fillId="22" borderId="44" xfId="0" applyNumberFormat="1" applyFont="1" applyFill="1" applyBorder="1" applyAlignment="1" applyProtection="1">
      <alignment horizontal="center" vertical="center"/>
      <protection hidden="1"/>
    </xf>
    <xf numFmtId="10" fontId="25" fillId="22" borderId="51" xfId="0" applyNumberFormat="1" applyFont="1" applyFill="1" applyBorder="1" applyAlignment="1" applyProtection="1">
      <alignment horizontal="center" vertical="center"/>
      <protection hidden="1"/>
    </xf>
    <xf numFmtId="10" fontId="15" fillId="5" borderId="44" xfId="0" applyNumberFormat="1" applyFont="1" applyFill="1" applyBorder="1" applyAlignment="1" applyProtection="1">
      <alignment horizontal="right" vertical="center"/>
      <protection hidden="1"/>
    </xf>
    <xf numFmtId="10" fontId="15" fillId="5" borderId="46" xfId="0" applyNumberFormat="1" applyFont="1" applyFill="1" applyBorder="1" applyAlignment="1" applyProtection="1">
      <alignment horizontal="right" vertical="center"/>
      <protection hidden="1"/>
    </xf>
    <xf numFmtId="10" fontId="105" fillId="11" borderId="44" xfId="0" applyNumberFormat="1" applyFont="1" applyFill="1" applyBorder="1" applyAlignment="1" applyProtection="1">
      <alignment horizontal="right" vertical="center"/>
      <protection hidden="1"/>
    </xf>
    <xf numFmtId="10" fontId="105" fillId="11" borderId="46" xfId="0" applyNumberFormat="1" applyFont="1" applyFill="1" applyBorder="1" applyAlignment="1" applyProtection="1">
      <alignment horizontal="right" vertical="center"/>
      <protection hidden="1"/>
    </xf>
    <xf numFmtId="10" fontId="15" fillId="11" borderId="51" xfId="0" applyNumberFormat="1" applyFont="1" applyFill="1" applyBorder="1" applyAlignment="1" applyProtection="1">
      <alignment horizontal="right" vertical="center"/>
      <protection hidden="1"/>
    </xf>
    <xf numFmtId="10" fontId="15" fillId="11" borderId="60" xfId="0" applyNumberFormat="1" applyFont="1" applyFill="1" applyBorder="1" applyAlignment="1" applyProtection="1">
      <alignment horizontal="right" vertical="center"/>
      <protection hidden="1"/>
    </xf>
    <xf numFmtId="0" fontId="25" fillId="22" borderId="44" xfId="0" applyFont="1" applyFill="1" applyBorder="1" applyAlignment="1" applyProtection="1">
      <alignment horizontal="center" vertical="center" wrapText="1"/>
      <protection hidden="1"/>
    </xf>
    <xf numFmtId="3" fontId="70" fillId="25" borderId="175" xfId="0" applyNumberFormat="1" applyFont="1" applyFill="1" applyBorder="1" applyAlignment="1" applyProtection="1">
      <alignment horizontal="center" vertical="center"/>
      <protection hidden="1"/>
    </xf>
    <xf numFmtId="3" fontId="70" fillId="25" borderId="61" xfId="0" applyNumberFormat="1" applyFont="1" applyFill="1" applyBorder="1" applyAlignment="1" applyProtection="1">
      <alignment horizontal="center" vertical="center"/>
      <protection hidden="1"/>
    </xf>
    <xf numFmtId="3" fontId="70" fillId="25" borderId="174" xfId="0" applyNumberFormat="1" applyFont="1" applyFill="1" applyBorder="1" applyAlignment="1" applyProtection="1">
      <alignment horizontal="center" vertical="center"/>
      <protection hidden="1"/>
    </xf>
    <xf numFmtId="3" fontId="70" fillId="25" borderId="68" xfId="0" applyNumberFormat="1" applyFont="1" applyFill="1" applyBorder="1" applyAlignment="1" applyProtection="1">
      <alignment horizontal="center" vertical="center"/>
      <protection hidden="1"/>
    </xf>
    <xf numFmtId="0" fontId="25" fillId="22" borderId="3" xfId="0" applyFont="1" applyFill="1" applyBorder="1" applyAlignment="1" applyProtection="1">
      <alignment horizontal="center" vertical="center" wrapText="1"/>
      <protection hidden="1"/>
    </xf>
    <xf numFmtId="0" fontId="25" fillId="22" borderId="2" xfId="0" applyFont="1" applyFill="1" applyBorder="1" applyAlignment="1" applyProtection="1">
      <alignment horizontal="center" vertical="center" wrapText="1"/>
      <protection hidden="1"/>
    </xf>
    <xf numFmtId="0" fontId="25" fillId="22" borderId="67" xfId="0" applyFont="1" applyFill="1" applyBorder="1" applyAlignment="1" applyProtection="1">
      <alignment horizontal="center" vertical="center" wrapText="1"/>
      <protection hidden="1"/>
    </xf>
    <xf numFmtId="0" fontId="25" fillId="22" borderId="53" xfId="0" applyFont="1" applyFill="1" applyBorder="1" applyAlignment="1" applyProtection="1">
      <alignment horizontal="center" vertical="center"/>
      <protection hidden="1"/>
    </xf>
    <xf numFmtId="0" fontId="25" fillId="22" borderId="138" xfId="0" applyFont="1" applyFill="1" applyBorder="1" applyAlignment="1" applyProtection="1">
      <alignment horizontal="center" vertical="center"/>
      <protection hidden="1"/>
    </xf>
    <xf numFmtId="0" fontId="25" fillId="22" borderId="139" xfId="0" applyFont="1" applyFill="1" applyBorder="1" applyAlignment="1" applyProtection="1">
      <alignment horizontal="center" vertical="center"/>
      <protection hidden="1"/>
    </xf>
    <xf numFmtId="0" fontId="25" fillId="22" borderId="66" xfId="0" applyFont="1" applyFill="1" applyBorder="1" applyAlignment="1" applyProtection="1">
      <alignment horizontal="center" vertical="center"/>
      <protection hidden="1"/>
    </xf>
    <xf numFmtId="0" fontId="25" fillId="22" borderId="68" xfId="0" applyFont="1" applyFill="1" applyBorder="1" applyAlignment="1" applyProtection="1">
      <alignment horizontal="center" vertical="center"/>
      <protection hidden="1"/>
    </xf>
    <xf numFmtId="0" fontId="25" fillId="22" borderId="142" xfId="0" applyFont="1" applyFill="1" applyBorder="1" applyAlignment="1" applyProtection="1">
      <alignment horizontal="center" vertical="center"/>
      <protection hidden="1"/>
    </xf>
    <xf numFmtId="1" fontId="25" fillId="22" borderId="52" xfId="0" applyNumberFormat="1" applyFont="1" applyFill="1" applyBorder="1" applyAlignment="1" applyProtection="1">
      <alignment horizontal="center" vertical="center"/>
      <protection hidden="1"/>
    </xf>
    <xf numFmtId="1" fontId="25" fillId="22" borderId="54" xfId="0" applyNumberFormat="1" applyFont="1" applyFill="1" applyBorder="1" applyAlignment="1" applyProtection="1">
      <alignment horizontal="center" vertical="center"/>
      <protection hidden="1"/>
    </xf>
    <xf numFmtId="1" fontId="25" fillId="22" borderId="63" xfId="0" applyNumberFormat="1" applyFont="1" applyFill="1" applyBorder="1" applyAlignment="1" applyProtection="1">
      <alignment horizontal="center" vertical="center"/>
      <protection hidden="1"/>
    </xf>
    <xf numFmtId="1" fontId="25" fillId="22" borderId="3" xfId="0" applyNumberFormat="1" applyFont="1" applyFill="1" applyBorder="1" applyAlignment="1" applyProtection="1">
      <alignment horizontal="center" vertical="center"/>
      <protection hidden="1"/>
    </xf>
    <xf numFmtId="1" fontId="25" fillId="22" borderId="2" xfId="0" applyNumberFormat="1" applyFont="1" applyFill="1" applyBorder="1" applyAlignment="1" applyProtection="1">
      <alignment horizontal="center" vertical="center"/>
      <protection hidden="1"/>
    </xf>
    <xf numFmtId="1" fontId="25" fillId="22" borderId="67" xfId="0" applyNumberFormat="1" applyFont="1" applyFill="1" applyBorder="1" applyAlignment="1" applyProtection="1">
      <alignment horizontal="center" vertical="center"/>
      <protection hidden="1"/>
    </xf>
    <xf numFmtId="0" fontId="25" fillId="22" borderId="3" xfId="0" applyFont="1" applyFill="1" applyBorder="1" applyAlignment="1" applyProtection="1">
      <alignment horizontal="center" vertical="center"/>
      <protection hidden="1"/>
    </xf>
    <xf numFmtId="0" fontId="25" fillId="22" borderId="67" xfId="0" applyFont="1" applyFill="1" applyBorder="1" applyAlignment="1" applyProtection="1">
      <alignment horizontal="center" vertical="center"/>
      <protection hidden="1"/>
    </xf>
    <xf numFmtId="0" fontId="25" fillId="22" borderId="44" xfId="0" applyFont="1" applyFill="1" applyBorder="1" applyAlignment="1" applyProtection="1">
      <alignment horizontal="center" vertical="center"/>
      <protection hidden="1"/>
    </xf>
    <xf numFmtId="0" fontId="25" fillId="22" borderId="2" xfId="0" applyFont="1" applyFill="1" applyBorder="1" applyAlignment="1" applyProtection="1">
      <alignment horizontal="center" vertical="center"/>
      <protection hidden="1"/>
    </xf>
    <xf numFmtId="0" fontId="107" fillId="25" borderId="61" xfId="0" applyFont="1" applyFill="1" applyBorder="1" applyAlignment="1" applyProtection="1">
      <alignment horizontal="center" vertical="center"/>
      <protection hidden="1"/>
    </xf>
    <xf numFmtId="0" fontId="107" fillId="25" borderId="68" xfId="0" applyFont="1" applyFill="1" applyBorder="1" applyAlignment="1" applyProtection="1">
      <alignment horizontal="center" vertical="center"/>
      <protection hidden="1"/>
    </xf>
    <xf numFmtId="3" fontId="25" fillId="22" borderId="38" xfId="0" applyNumberFormat="1" applyFont="1" applyFill="1" applyBorder="1" applyAlignment="1" applyProtection="1">
      <alignment horizontal="center" vertical="center"/>
      <protection hidden="1"/>
    </xf>
    <xf numFmtId="3" fontId="25" fillId="22" borderId="64" xfId="0" applyNumberFormat="1" applyFont="1" applyFill="1" applyBorder="1" applyAlignment="1" applyProtection="1">
      <alignment horizontal="center" vertical="center"/>
      <protection hidden="1"/>
    </xf>
    <xf numFmtId="9" fontId="15" fillId="0" borderId="3" xfId="0" applyNumberFormat="1" applyFont="1" applyBorder="1" applyAlignment="1" applyProtection="1">
      <alignment horizontal="center" vertical="center"/>
      <protection hidden="1"/>
    </xf>
    <xf numFmtId="0" fontId="15" fillId="0" borderId="67" xfId="0" applyFont="1" applyBorder="1" applyAlignment="1" applyProtection="1">
      <alignment horizontal="center" vertical="center"/>
      <protection hidden="1"/>
    </xf>
    <xf numFmtId="3" fontId="26" fillId="22" borderId="44" xfId="39" applyNumberFormat="1" applyFont="1" applyFill="1" applyBorder="1" applyProtection="1">
      <alignment horizontal="center" vertical="center" shrinkToFit="1"/>
      <protection locked="0" hidden="1"/>
    </xf>
    <xf numFmtId="0" fontId="15" fillId="0" borderId="44" xfId="0" applyFont="1" applyBorder="1" applyAlignment="1" applyProtection="1">
      <alignment horizontal="center" vertical="center"/>
      <protection locked="0" hidden="1"/>
    </xf>
    <xf numFmtId="0" fontId="15" fillId="5" borderId="53" xfId="39" applyFont="1" applyFill="1" applyBorder="1" applyProtection="1">
      <alignment horizontal="center" vertical="center" shrinkToFit="1"/>
      <protection hidden="1"/>
    </xf>
    <xf numFmtId="0" fontId="15" fillId="5" borderId="139" xfId="39" applyFont="1" applyFill="1" applyBorder="1" applyProtection="1">
      <alignment horizontal="center" vertical="center" shrinkToFit="1"/>
      <protection hidden="1"/>
    </xf>
    <xf numFmtId="0" fontId="15" fillId="5" borderId="66" xfId="39" applyFont="1" applyFill="1" applyBorder="1" applyProtection="1">
      <alignment horizontal="center" vertical="center" shrinkToFit="1"/>
      <protection hidden="1"/>
    </xf>
    <xf numFmtId="0" fontId="15" fillId="5" borderId="142" xfId="39" applyFont="1" applyFill="1" applyBorder="1" applyProtection="1">
      <alignment horizontal="center" vertical="center" shrinkToFit="1"/>
      <protection hidden="1"/>
    </xf>
    <xf numFmtId="0" fontId="15" fillId="11" borderId="44" xfId="0" applyFont="1" applyFill="1" applyBorder="1" applyAlignment="1" applyProtection="1">
      <alignment horizontal="center" vertical="center"/>
      <protection locked="0" hidden="1"/>
    </xf>
    <xf numFmtId="3" fontId="15" fillId="5" borderId="44" xfId="39" applyNumberFormat="1" applyFont="1" applyFill="1" applyBorder="1" applyProtection="1">
      <alignment horizontal="center" vertical="center" shrinkToFit="1"/>
      <protection locked="0" hidden="1"/>
    </xf>
    <xf numFmtId="3" fontId="17" fillId="25" borderId="95" xfId="0" applyNumberFormat="1" applyFont="1" applyFill="1" applyBorder="1" applyAlignment="1" applyProtection="1">
      <alignment horizontal="center" vertical="center"/>
      <protection hidden="1"/>
    </xf>
    <xf numFmtId="3" fontId="17" fillId="25" borderId="57" xfId="0" applyNumberFormat="1" applyFont="1" applyFill="1" applyBorder="1" applyAlignment="1" applyProtection="1">
      <alignment horizontal="center" vertical="center"/>
      <protection hidden="1"/>
    </xf>
    <xf numFmtId="3" fontId="25" fillId="22" borderId="39" xfId="0" applyNumberFormat="1" applyFont="1" applyFill="1" applyBorder="1" applyAlignment="1" applyProtection="1">
      <alignment horizontal="center" vertical="center"/>
      <protection hidden="1"/>
    </xf>
    <xf numFmtId="10" fontId="26" fillId="22" borderId="44" xfId="0" applyNumberFormat="1" applyFont="1" applyFill="1" applyBorder="1" applyAlignment="1" applyProtection="1">
      <alignment horizontal="center" vertical="center"/>
      <protection hidden="1"/>
    </xf>
    <xf numFmtId="10" fontId="26" fillId="22" borderId="51" xfId="0" applyNumberFormat="1" applyFont="1" applyFill="1" applyBorder="1" applyAlignment="1" applyProtection="1">
      <alignment horizontal="center" vertical="center"/>
      <protection hidden="1"/>
    </xf>
    <xf numFmtId="0" fontId="28" fillId="0" borderId="56" xfId="0" applyFont="1" applyBorder="1" applyAlignment="1" applyProtection="1">
      <alignment horizontal="center" vertical="center"/>
      <protection hidden="1"/>
    </xf>
    <xf numFmtId="9" fontId="15" fillId="5" borderId="47" xfId="39" applyNumberFormat="1" applyFont="1" applyFill="1" applyBorder="1" applyProtection="1">
      <alignment horizontal="center" vertical="center" shrinkToFit="1"/>
      <protection hidden="1"/>
    </xf>
    <xf numFmtId="0" fontId="15" fillId="5" borderId="56" xfId="39" applyFont="1" applyFill="1" applyBorder="1" applyProtection="1">
      <alignment horizontal="center" vertical="center" shrinkToFit="1"/>
      <protection hidden="1"/>
    </xf>
    <xf numFmtId="9" fontId="15" fillId="0" borderId="44" xfId="30" applyNumberFormat="1" applyFont="1" applyBorder="1" applyAlignment="1" applyProtection="1">
      <alignment horizontal="center" vertical="center" shrinkToFit="1"/>
      <protection locked="0" hidden="1"/>
    </xf>
    <xf numFmtId="9" fontId="15" fillId="5" borderId="44" xfId="39" applyNumberFormat="1" applyFont="1" applyFill="1" applyBorder="1" applyProtection="1">
      <alignment horizontal="center" vertical="center" shrinkToFit="1"/>
      <protection hidden="1"/>
    </xf>
  </cellXfs>
  <cellStyles count="44">
    <cellStyle name="Comma" xfId="8" builtinId="3"/>
    <cellStyle name="Comma 2" xfId="1" xr:uid="{00000000-0005-0000-0000-000000000000}"/>
    <cellStyle name="Comma 3" xfId="2" xr:uid="{00000000-0005-0000-0000-000001000000}"/>
    <cellStyle name="Hyperlink" xfId="43" builtinId="8"/>
    <cellStyle name="Normal" xfId="0" builtinId="0"/>
    <cellStyle name="Normal 2" xfId="3" xr:uid="{00000000-0005-0000-0000-000002000000}"/>
    <cellStyle name="Normal 3" xfId="4" xr:uid="{00000000-0005-0000-0000-000003000000}"/>
    <cellStyle name="Normal_Term office premium - Nearest BD final" xfId="5" xr:uid="{00000000-0005-0000-0000-000004000000}"/>
    <cellStyle name="Percent" xfId="31" builtinId="5"/>
    <cellStyle name="Percent 2" xfId="6" xr:uid="{00000000-0005-0000-0000-000005000000}"/>
    <cellStyle name="Percent 3" xfId="7" xr:uid="{00000000-0005-0000-0000-000006000000}"/>
    <cellStyle name="เครื่องหมายจุลภาค 2" xfId="9" xr:uid="{00000000-0005-0000-0000-000007000000}"/>
    <cellStyle name="เครื่องหมายจุลภาค 3" xfId="10" xr:uid="{00000000-0005-0000-0000-000008000000}"/>
    <cellStyle name="เครื่องหมายจุลภาค 4" xfId="11" xr:uid="{00000000-0005-0000-0000-000009000000}"/>
    <cellStyle name="เครื่องหมายจุลภาค 5" xfId="12" xr:uid="{00000000-0005-0000-0000-00000A000000}"/>
    <cellStyle name="เครื่องหมายจุลภาค 5 2" xfId="13" xr:uid="{00000000-0005-0000-0000-00000B000000}"/>
    <cellStyle name="เครื่องหมายจุลภาค 6" xfId="14" xr:uid="{00000000-0005-0000-0000-00000C000000}"/>
    <cellStyle name="เครื่องหมายจุลภาค 7" xfId="15" xr:uid="{00000000-0005-0000-0000-00000D000000}"/>
    <cellStyle name="เครื่องหมายจุลภาค 7 2" xfId="16" xr:uid="{00000000-0005-0000-0000-00000E000000}"/>
    <cellStyle name="เครื่องหมายจุลภาค 7 2 2" xfId="17" xr:uid="{00000000-0005-0000-0000-00000F000000}"/>
    <cellStyle name="เครื่องหมายจุลภาค 8" xfId="18" xr:uid="{00000000-0005-0000-0000-000010000000}"/>
    <cellStyle name="เครื่องหมายจุลภาค 9" xfId="19" xr:uid="{00000000-0005-0000-0000-000011000000}"/>
    <cellStyle name="เปอร์เซ็นต์ 2" xfId="32" xr:uid="{00000000-0005-0000-0000-000025000000}"/>
    <cellStyle name="เปอร์เซ็นต์ 2 2" xfId="33" xr:uid="{00000000-0005-0000-0000-000026000000}"/>
    <cellStyle name="เปอร์เซ็นต์ 3" xfId="34" xr:uid="{00000000-0005-0000-0000-000027000000}"/>
    <cellStyle name="เปอร์เซ็นต์ 4" xfId="35" xr:uid="{00000000-0005-0000-0000-000028000000}"/>
    <cellStyle name="เปอร์เซ็นต์ 5" xfId="36" xr:uid="{00000000-0005-0000-0000-000029000000}"/>
    <cellStyle name="เปอร์เซ็นต์ 5 2" xfId="37" xr:uid="{00000000-0005-0000-0000-00002A000000}"/>
    <cellStyle name="เปอร์เซ็นต์ 5 2 2" xfId="38" xr:uid="{00000000-0005-0000-0000-00002B000000}"/>
    <cellStyle name="เปอร์เซ็นต์ 6" xfId="40" xr:uid="{00000000-0005-0000-0000-00002C000000}"/>
    <cellStyle name="จุลภาค 2" xfId="42" xr:uid="{00000000-0005-0000-0000-000013000000}"/>
    <cellStyle name="ปกติ 10" xfId="41" xr:uid="{00000000-0005-0000-0000-000015000000}"/>
    <cellStyle name="ปกติ 2" xfId="20" xr:uid="{00000000-0005-0000-0000-000016000000}"/>
    <cellStyle name="ปกติ 3" xfId="21" xr:uid="{00000000-0005-0000-0000-000017000000}"/>
    <cellStyle name="ปกติ 4" xfId="22" xr:uid="{00000000-0005-0000-0000-000018000000}"/>
    <cellStyle name="ปกติ 5" xfId="23" xr:uid="{00000000-0005-0000-0000-000019000000}"/>
    <cellStyle name="ปกติ 6" xfId="24" xr:uid="{00000000-0005-0000-0000-00001A000000}"/>
    <cellStyle name="ปกติ 7" xfId="25" xr:uid="{00000000-0005-0000-0000-00001B000000}"/>
    <cellStyle name="ปกติ 8" xfId="26" xr:uid="{00000000-0005-0000-0000-00001C000000}"/>
    <cellStyle name="ปกติ 9" xfId="39" xr:uid="{00000000-0005-0000-0000-00001D000000}"/>
    <cellStyle name="ปกติ_Com 10Yr." xfId="27" xr:uid="{00000000-0005-0000-0000-00001F000000}"/>
    <cellStyle name="ปกติ_DPO&amp;Com" xfId="28" xr:uid="{00000000-0005-0000-0000-000020000000}"/>
    <cellStyle name="ปกติ_Summary" xfId="29" xr:uid="{00000000-0005-0000-0000-000022000000}"/>
    <cellStyle name="ปกติ_รายได้ของตัวแทน" xfId="30" xr:uid="{00000000-0005-0000-0000-000023000000}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Light16"/>
  <colors>
    <mruColors>
      <color rgb="FFCCECFF"/>
      <color rgb="FFFFFF99"/>
      <color rgb="FF752127"/>
      <color rgb="FF8E1230"/>
      <color rgb="FFC06E65"/>
      <color rgb="FFCC0000"/>
      <color rgb="FFFF0000"/>
      <color rgb="FFFFCCCC"/>
      <color rgb="FFFCD5B4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externalLink" Target="externalLinks/externalLink1.xml" /><Relationship Id="rId20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trlProps/ctrlProp1.xml><?xml version="1.0" encoding="utf-8"?>
<formControlPr xmlns="http://schemas.microsoft.com/office/spreadsheetml/2009/9/main" objectType="Spin" dx="16" fmlaLink="COM!$D$1" max="37" min="1" page="10" val="29"/>
</file>

<file path=xl/ctrlProps/ctrlProp2.xml><?xml version="1.0" encoding="utf-8"?>
<formControlPr xmlns="http://schemas.microsoft.com/office/spreadsheetml/2009/9/main" objectType="Spin" dx="16" fmlaLink="COM!$D$1" max="37" min="1" page="10" val="29"/>
</file>

<file path=xl/ctrlProps/ctrlProp3.xml><?xml version="1.0" encoding="utf-8"?>
<formControlPr xmlns="http://schemas.microsoft.com/office/spreadsheetml/2009/9/main" objectType="Spin" dx="16" fmlaLink="$K$3" max="100" page="10" val="85"/>
</file>

<file path=xl/ctrlProps/ctrlProp4.xml><?xml version="1.0" encoding="utf-8"?>
<formControlPr xmlns="http://schemas.microsoft.com/office/spreadsheetml/2009/9/main" objectType="Spin" dx="16" fmlaLink="$K$4" max="100" page="10" val="60"/>
</file>

<file path=xl/ctrlProps/ctrlProp5.xml><?xml version="1.0" encoding="utf-8"?>
<formControlPr xmlns="http://schemas.microsoft.com/office/spreadsheetml/2009/9/main" objectType="Spin" dx="16" fmlaLink="$K$5" max="100" page="10" val="30"/>
</file>

<file path=xl/ctrlProps/ctrlProp6.xml><?xml version="1.0" encoding="utf-8"?>
<formControlPr xmlns="http://schemas.microsoft.com/office/spreadsheetml/2009/9/main" objectType="Spin" dx="16" fmlaLink="$D$5" max="2600" min="2565" page="10" val="2569"/>
</file>

<file path=xl/ctrlProps/ctrlProp7.xml><?xml version="1.0" encoding="utf-8"?>
<formControlPr xmlns="http://schemas.microsoft.com/office/spreadsheetml/2009/9/main" objectType="Spin" dx="26" fmlaLink="$AC$2" max="30000" page="10" val="30"/>
</file>

<file path=xl/ctrlProps/ctrlProp8.xml><?xml version="1.0" encoding="utf-8"?>
<formControlPr xmlns="http://schemas.microsoft.com/office/spreadsheetml/2009/9/main" objectType="Spin" dx="26" fmlaLink="$AC$3" max="1000" page="10" val="150"/>
</file>

<file path=xl/ctrlProps/ctrlProp9.xml><?xml version="1.0" encoding="utf-8"?>
<formControlPr xmlns="http://schemas.microsoft.com/office/spreadsheetml/2009/9/main" objectType="Spin" dx="16" fmlaLink="$H$5" max="30000" page="10" val="30"/>
</file>

<file path=xl/ctrlProps/ctrlProp10.xml><?xml version="1.0" encoding="utf-8"?>
<formControlPr xmlns="http://schemas.microsoft.com/office/spreadsheetml/2009/9/main" objectType="Spin" dx="16" fmlaLink="TIME!$D$5" max="2600" min="2564" page="10" val="2569"/>
</file>

<file path=xl/ctrlProps/ctrlProp11.xml><?xml version="1.0" encoding="utf-8"?>
<formControlPr xmlns="http://schemas.microsoft.com/office/spreadsheetml/2009/9/main" objectType="Spin" dx="16" fmlaLink="TIME!$K$5" max="100" page="10" val="30"/>
</file>

<file path=xl/ctrlProps/ctrlProp12.xml><?xml version="1.0" encoding="utf-8"?>
<formControlPr xmlns="http://schemas.microsoft.com/office/spreadsheetml/2009/9/main" objectType="Spin" dx="16" fmlaLink="Life!$F$3" max="10" page="10" val="10"/>
</file>

<file path=xl/ctrlProps/ctrlProp13.xml><?xml version="1.0" encoding="utf-8"?>
<formControlPr xmlns="http://schemas.microsoft.com/office/spreadsheetml/2009/9/main" objectType="Spin" dx="16" fmlaLink="Life!$F$7" max="1000" page="10" val="0"/>
</file>

<file path=xl/ctrlProps/ctrlProp14.xml><?xml version="1.0" encoding="utf-8"?>
<formControlPr xmlns="http://schemas.microsoft.com/office/spreadsheetml/2009/9/main" objectType="Spin" dx="16" fmlaLink="Life!$F$11" max="300" page="10" val="100"/>
</file>

<file path=xl/ctrlProps/ctrlProp15.xml><?xml version="1.0" encoding="utf-8"?>
<formControlPr xmlns="http://schemas.microsoft.com/office/spreadsheetml/2009/9/main" objectType="Spin" dx="16" fmlaLink="TIME!$D$5" max="2600" min="2500" page="10" val="2569"/>
</file>

<file path=xl/ctrlProps/ctrlProp16.xml><?xml version="1.0" encoding="utf-8"?>
<formControlPr xmlns="http://schemas.microsoft.com/office/spreadsheetml/2009/9/main" objectType="Spin" dx="16" fmlaLink="TIME!$K$5" max="100" page="10" val="30"/>
</file>

<file path=xl/ctrlProps/ctrlProp17.xml><?xml version="1.0" encoding="utf-8"?>
<formControlPr xmlns="http://schemas.microsoft.com/office/spreadsheetml/2009/9/main" objectType="Spin" dx="16" fmlaLink="Life!$I$7" max="1000" min="1" page="10" val="5"/>
</file>

<file path=xl/ctrlProps/ctrlProp18.xml><?xml version="1.0" encoding="utf-8"?>
<formControlPr xmlns="http://schemas.microsoft.com/office/spreadsheetml/2009/9/main" objectType="Spin" dx="16" fmlaLink="Life!$F$4" max="7" min="1" page="10" val="5"/>
</file>

<file path=xl/ctrlProps/ctrlProp19.xml><?xml version="1.0" encoding="utf-8"?>
<formControlPr xmlns="http://schemas.microsoft.com/office/spreadsheetml/2009/9/main" objectType="Spin" dx="16" fmlaLink="TIME!$D$5" max="2600" min="2564" page="10" val="2569"/>
</file>

<file path=xl/ctrlProps/ctrlProp20.xml><?xml version="1.0" encoding="utf-8"?>
<formControlPr xmlns="http://schemas.microsoft.com/office/spreadsheetml/2009/9/main" objectType="Spin" dx="16" fmlaLink="TIME!$K$5" max="100" page="10" val="30"/>
</file>

<file path=xl/ctrlProps/ctrlProp21.xml><?xml version="1.0" encoding="utf-8"?>
<formControlPr xmlns="http://schemas.microsoft.com/office/spreadsheetml/2009/9/main" objectType="Spin" dx="16" fmlaLink="COM!$D$1" max="27" min="1" page="10" val="27"/>
</file>

<file path=xl/ctrlProps/ctrlProp22.xml><?xml version="1.0" encoding="utf-8"?>
<formControlPr xmlns="http://schemas.microsoft.com/office/spreadsheetml/2009/9/main" objectType="Spin" dx="16" fmlaLink="$M$3" max="85" min="69" page="10" val="75"/>
</file>

<file path=xl/ctrlProps/ctrlProp23.xml><?xml version="1.0" encoding="utf-8"?>
<formControlPr xmlns="http://schemas.microsoft.com/office/spreadsheetml/2009/9/main" objectType="Spin" dx="16" fmlaLink="COM!$D$1" max="37" min="1" page="10" val="29"/>
</file>

<file path=xl/ctrlProps/ctrlProp24.xml><?xml version="1.0" encoding="utf-8"?>
<formControlPr xmlns="http://schemas.microsoft.com/office/spreadsheetml/2009/9/main" objectType="Spin" dx="16" fmlaLink="COM!$D$1" max="37" min="1" page="10" val="29"/>
</file>

<file path=xl/ctrlProps/ctrlProp25.xml><?xml version="1.0" encoding="utf-8"?>
<formControlPr xmlns="http://schemas.microsoft.com/office/spreadsheetml/2009/9/main" objectType="Spin" dx="16" fmlaLink="Life!$F$3" max="10" page="10" val="10"/>
</file>

<file path=xl/ctrlProps/ctrlProp26.xml><?xml version="1.0" encoding="utf-8"?>
<formControlPr xmlns="http://schemas.microsoft.com/office/spreadsheetml/2009/9/main" objectType="Spin" dx="16" fmlaLink="Life!$F$7" max="1000" page="10" val="0"/>
</file>

<file path=xl/ctrlProps/ctrlProp27.xml><?xml version="1.0" encoding="utf-8"?>
<formControlPr xmlns="http://schemas.microsoft.com/office/spreadsheetml/2009/9/main" objectType="Spin" dx="16" fmlaLink="Life!$F$11" max="300" page="10" val="100"/>
</file>

<file path=xl/ctrlProps/ctrlProp28.xml><?xml version="1.0" encoding="utf-8"?>
<formControlPr xmlns="http://schemas.microsoft.com/office/spreadsheetml/2009/9/main" objectType="Spin" dx="16" fmlaLink="Life!$I$7" max="1000" min="1" page="10" val="5"/>
</file>

<file path=xl/ctrlProps/ctrlProp29.xml><?xml version="1.0" encoding="utf-8"?>
<formControlPr xmlns="http://schemas.microsoft.com/office/spreadsheetml/2009/9/main" objectType="Spin" dx="16" fmlaLink="Life!$F$4" max="7" min="1" page="10" val="5"/>
</file>

<file path=xl/ctrlProps/ctrlProp30.xml><?xml version="1.0" encoding="utf-8"?>
<formControlPr xmlns="http://schemas.microsoft.com/office/spreadsheetml/2009/9/main" objectType="Spin" dx="16" fmlaLink="'COM10'!$M$3" max="100" min="50" page="10" val="75"/>
</file>

<file path=xl/ctrlProps/ctrlProp31.xml><?xml version="1.0" encoding="utf-8"?>
<formControlPr xmlns="http://schemas.microsoft.com/office/spreadsheetml/2009/9/main" objectType="Spin" dx="16" fmlaLink="COM!$D$1" max="37" min="1" page="10" val="29"/>
</file>

<file path=xl/ctrlProps/ctrlProp32.xml><?xml version="1.0" encoding="utf-8"?>
<formControlPr xmlns="http://schemas.microsoft.com/office/spreadsheetml/2009/9/main" objectType="Spin" dx="16" fmlaLink="TIME!$D$5" max="2600" min="2500" page="10" val="2569"/>
</file>

<file path=xl/ctrlProps/ctrlProp33.xml><?xml version="1.0" encoding="utf-8"?>
<formControlPr xmlns="http://schemas.microsoft.com/office/spreadsheetml/2009/9/main" objectType="Spin" dx="16" fmlaLink="'COM10'!$M$3" max="100" min="50" page="10" val="75"/>
</file>

<file path=xl/ctrlProps/ctrlProp34.xml><?xml version="1.0" encoding="utf-8"?>
<formControlPr xmlns="http://schemas.microsoft.com/office/spreadsheetml/2009/9/main" objectType="Spin" dx="16" fmlaLink="COM!$D$1" max="37" min="1" page="10" val="29"/>
</file>

<file path=xl/ctrlProps/ctrlProp35.xml><?xml version="1.0" encoding="utf-8"?>
<formControlPr xmlns="http://schemas.microsoft.com/office/spreadsheetml/2009/9/main" objectType="Spin" dx="16" fmlaLink="TIME!$D$5" max="2600" min="2500" page="10" val="2569"/>
</file>

<file path=xl/ctrlProps/ctrlProp36.xml><?xml version="1.0" encoding="utf-8"?>
<formControlPr xmlns="http://schemas.microsoft.com/office/spreadsheetml/2009/9/main" objectType="Spin" dx="16" fmlaLink="'COM10'!$M$3" max="100" min="50" page="10" val="75"/>
</file>

<file path=xl/ctrlProps/ctrlProp37.xml><?xml version="1.0" encoding="utf-8"?>
<formControlPr xmlns="http://schemas.microsoft.com/office/spreadsheetml/2009/9/main" objectType="Spin" dx="16" fmlaLink="COM!$D$1" max="37" min="1" page="10" val="2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0</xdr:row>
          <xdr:rowOff>7620</xdr:rowOff>
        </xdr:from>
        <xdr:to>
          <xdr:col>2</xdr:col>
          <xdr:colOff>594360</xdr:colOff>
          <xdr:row>0</xdr:row>
          <xdr:rowOff>327660</xdr:rowOff>
        </xdr:to>
        <xdr:sp macro="" textlink="">
          <xdr:nvSpPr>
            <xdr:cNvPr id="196610" name="Spinner 2" hidden="1">
              <a:extLst>
                <a:ext uri="{63B3BB69-23CF-44E3-9099-C40C66FF867C}">
                  <a14:compatExt spid="_x0000_s196610"/>
                </a:ext>
                <a:ext uri="{FF2B5EF4-FFF2-40B4-BE49-F238E27FC236}">
                  <a16:creationId xmlns:a16="http://schemas.microsoft.com/office/drawing/2014/main" id="{00000000-0008-0000-0000-0000020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15240</xdr:colOff>
          <xdr:row>2</xdr:row>
          <xdr:rowOff>7620</xdr:rowOff>
        </xdr:from>
        <xdr:to>
          <xdr:col>13</xdr:col>
          <xdr:colOff>845820</xdr:colOff>
          <xdr:row>3</xdr:row>
          <xdr:rowOff>601980</xdr:rowOff>
        </xdr:to>
        <xdr:sp macro="" textlink="">
          <xdr:nvSpPr>
            <xdr:cNvPr id="195587" name="Spinner 3" hidden="1">
              <a:extLst>
                <a:ext uri="{63B3BB69-23CF-44E3-9099-C40C66FF867C}">
                  <a14:compatExt spid="_x0000_s195587"/>
                </a:ext>
                <a:ext uri="{FF2B5EF4-FFF2-40B4-BE49-F238E27FC236}">
                  <a16:creationId xmlns:a16="http://schemas.microsoft.com/office/drawing/2014/main" id="{00000000-0008-0000-0200-000003F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200025</xdr:colOff>
      <xdr:row>12</xdr:row>
      <xdr:rowOff>276225</xdr:rowOff>
    </xdr:from>
    <xdr:to>
      <xdr:col>11</xdr:col>
      <xdr:colOff>704850</xdr:colOff>
      <xdr:row>12</xdr:row>
      <xdr:rowOff>466725</xdr:rowOff>
    </xdr:to>
    <xdr:sp macro="" textlink="">
      <xdr:nvSpPr>
        <xdr:cNvPr id="35512" name="AutoShape 8">
          <a:extLst>
            <a:ext uri="{FF2B5EF4-FFF2-40B4-BE49-F238E27FC236}">
              <a16:creationId xmlns:a16="http://schemas.microsoft.com/office/drawing/2014/main" id="{00000000-0008-0000-0600-0000B88A0000}"/>
            </a:ext>
          </a:extLst>
        </xdr:cNvPr>
        <xdr:cNvSpPr>
          <a:spLocks noChangeArrowheads="1"/>
        </xdr:cNvSpPr>
      </xdr:nvSpPr>
      <xdr:spPr bwMode="auto">
        <a:xfrm>
          <a:off x="7105650" y="5238750"/>
          <a:ext cx="504825" cy="190500"/>
        </a:xfrm>
        <a:prstGeom prst="rightArrow">
          <a:avLst>
            <a:gd name="adj1" fmla="val 50000"/>
            <a:gd name="adj2" fmla="val 66250"/>
          </a:avLst>
        </a:prstGeom>
        <a:solidFill>
          <a:schemeClr val="accent2">
            <a:lumMod val="50000"/>
          </a:schemeClr>
        </a:solidFill>
        <a:ln w="9525">
          <a:solidFill>
            <a:srgbClr val="8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219075</xdr:colOff>
      <xdr:row>10</xdr:row>
      <xdr:rowOff>276225</xdr:rowOff>
    </xdr:from>
    <xdr:to>
      <xdr:col>11</xdr:col>
      <xdr:colOff>704850</xdr:colOff>
      <xdr:row>10</xdr:row>
      <xdr:rowOff>466725</xdr:rowOff>
    </xdr:to>
    <xdr:sp macro="" textlink="">
      <xdr:nvSpPr>
        <xdr:cNvPr id="35513" name="AutoShape 10">
          <a:extLst>
            <a:ext uri="{FF2B5EF4-FFF2-40B4-BE49-F238E27FC236}">
              <a16:creationId xmlns:a16="http://schemas.microsoft.com/office/drawing/2014/main" id="{00000000-0008-0000-0600-0000B98A0000}"/>
            </a:ext>
          </a:extLst>
        </xdr:cNvPr>
        <xdr:cNvSpPr>
          <a:spLocks noChangeArrowheads="1"/>
        </xdr:cNvSpPr>
      </xdr:nvSpPr>
      <xdr:spPr bwMode="auto">
        <a:xfrm>
          <a:off x="7124700" y="5905500"/>
          <a:ext cx="485775" cy="190500"/>
        </a:xfrm>
        <a:prstGeom prst="rightArrow">
          <a:avLst>
            <a:gd name="adj1" fmla="val 50000"/>
            <a:gd name="adj2" fmla="val 63750"/>
          </a:avLst>
        </a:prstGeom>
        <a:solidFill>
          <a:srgbClr val="8E1230"/>
        </a:solidFill>
        <a:ln w="9525">
          <a:solidFill>
            <a:srgbClr val="8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200025</xdr:colOff>
      <xdr:row>13</xdr:row>
      <xdr:rowOff>257175</xdr:rowOff>
    </xdr:from>
    <xdr:to>
      <xdr:col>11</xdr:col>
      <xdr:colOff>704850</xdr:colOff>
      <xdr:row>13</xdr:row>
      <xdr:rowOff>438150</xdr:rowOff>
    </xdr:to>
    <xdr:sp macro="" textlink="">
      <xdr:nvSpPr>
        <xdr:cNvPr id="35514" name="AutoShape 10">
          <a:extLst>
            <a:ext uri="{FF2B5EF4-FFF2-40B4-BE49-F238E27FC236}">
              <a16:creationId xmlns:a16="http://schemas.microsoft.com/office/drawing/2014/main" id="{00000000-0008-0000-0600-0000BA8A0000}"/>
            </a:ext>
          </a:extLst>
        </xdr:cNvPr>
        <xdr:cNvSpPr>
          <a:spLocks noChangeArrowheads="1"/>
        </xdr:cNvSpPr>
      </xdr:nvSpPr>
      <xdr:spPr bwMode="auto">
        <a:xfrm>
          <a:off x="7105650" y="6553200"/>
          <a:ext cx="504825" cy="180975"/>
        </a:xfrm>
        <a:prstGeom prst="rightArrow">
          <a:avLst>
            <a:gd name="adj1" fmla="val 50000"/>
            <a:gd name="adj2" fmla="val 69737"/>
          </a:avLst>
        </a:prstGeom>
        <a:solidFill>
          <a:schemeClr val="tx1"/>
        </a:solidFill>
        <a:ln w="9525">
          <a:solidFill>
            <a:srgbClr val="8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</xdr:colOff>
      <xdr:row>4</xdr:row>
      <xdr:rowOff>228600</xdr:rowOff>
    </xdr:from>
    <xdr:to>
      <xdr:col>6</xdr:col>
      <xdr:colOff>571500</xdr:colOff>
      <xdr:row>4</xdr:row>
      <xdr:rowOff>419100</xdr:rowOff>
    </xdr:to>
    <xdr:sp macro="" textlink="">
      <xdr:nvSpPr>
        <xdr:cNvPr id="34858" name="AutoShape 8">
          <a:extLst>
            <a:ext uri="{FF2B5EF4-FFF2-40B4-BE49-F238E27FC236}">
              <a16:creationId xmlns:a16="http://schemas.microsoft.com/office/drawing/2014/main" id="{00000000-0008-0000-0600-00002A880000}"/>
            </a:ext>
          </a:extLst>
        </xdr:cNvPr>
        <xdr:cNvSpPr>
          <a:spLocks noChangeArrowheads="1"/>
        </xdr:cNvSpPr>
      </xdr:nvSpPr>
      <xdr:spPr bwMode="auto">
        <a:xfrm rot="10800000">
          <a:off x="3819525" y="2095500"/>
          <a:ext cx="523875" cy="190500"/>
        </a:xfrm>
        <a:prstGeom prst="rightArrow">
          <a:avLst>
            <a:gd name="adj1" fmla="val 50000"/>
            <a:gd name="adj2" fmla="val 68750"/>
          </a:avLst>
        </a:prstGeom>
        <a:solidFill>
          <a:srgbClr val="CCECFF"/>
        </a:solidFill>
        <a:ln w="9525">
          <a:solidFill>
            <a:schemeClr val="tx2">
              <a:lumMod val="60000"/>
              <a:lumOff val="4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th-TH" sz="1600" b="0" i="0" u="none" strike="noStrike" baseline="0">
              <a:solidFill>
                <a:srgbClr val="000000"/>
              </a:solidFill>
              <a:latin typeface="DilleniaUPC"/>
              <a:cs typeface="DilleniaUPC"/>
            </a:rPr>
            <a:t>..</a:t>
          </a:r>
        </a:p>
      </xdr:txBody>
    </xdr:sp>
    <xdr:clientData/>
  </xdr:twoCellAnchor>
  <xdr:twoCellAnchor>
    <xdr:from>
      <xdr:col>6</xdr:col>
      <xdr:colOff>38100</xdr:colOff>
      <xdr:row>3</xdr:row>
      <xdr:rowOff>228600</xdr:rowOff>
    </xdr:from>
    <xdr:to>
      <xdr:col>6</xdr:col>
      <xdr:colOff>571500</xdr:colOff>
      <xdr:row>3</xdr:row>
      <xdr:rowOff>428625</xdr:rowOff>
    </xdr:to>
    <xdr:sp macro="" textlink="">
      <xdr:nvSpPr>
        <xdr:cNvPr id="34871" name="AutoShape 8">
          <a:extLst>
            <a:ext uri="{FF2B5EF4-FFF2-40B4-BE49-F238E27FC236}">
              <a16:creationId xmlns:a16="http://schemas.microsoft.com/office/drawing/2014/main" id="{00000000-0008-0000-0600-000037880000}"/>
            </a:ext>
          </a:extLst>
        </xdr:cNvPr>
        <xdr:cNvSpPr>
          <a:spLocks noChangeArrowheads="1"/>
        </xdr:cNvSpPr>
      </xdr:nvSpPr>
      <xdr:spPr bwMode="auto">
        <a:xfrm rot="10800000">
          <a:off x="3810000" y="1562100"/>
          <a:ext cx="533400" cy="200025"/>
        </a:xfrm>
        <a:prstGeom prst="rightArrow">
          <a:avLst>
            <a:gd name="adj1" fmla="val 50000"/>
            <a:gd name="adj2" fmla="val 66667"/>
          </a:avLst>
        </a:prstGeom>
        <a:solidFill>
          <a:srgbClr val="CCECFF"/>
        </a:solidFill>
        <a:ln w="9525">
          <a:solidFill>
            <a:schemeClr val="tx2">
              <a:lumMod val="60000"/>
              <a:lumOff val="4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th-TH" sz="1600" b="0" i="0" u="none" strike="noStrike" baseline="0">
              <a:solidFill>
                <a:srgbClr val="000000"/>
              </a:solidFill>
              <a:latin typeface="DilleniaUPC"/>
              <a:cs typeface="DilleniaUPC"/>
            </a:rPr>
            <a:t>..</a:t>
          </a:r>
        </a:p>
      </xdr:txBody>
    </xdr:sp>
    <xdr:clientData/>
  </xdr:twoCellAnchor>
  <xdr:twoCellAnchor>
    <xdr:from>
      <xdr:col>6</xdr:col>
      <xdr:colOff>28575</xdr:colOff>
      <xdr:row>2</xdr:row>
      <xdr:rowOff>228600</xdr:rowOff>
    </xdr:from>
    <xdr:to>
      <xdr:col>6</xdr:col>
      <xdr:colOff>571500</xdr:colOff>
      <xdr:row>2</xdr:row>
      <xdr:rowOff>409575</xdr:rowOff>
    </xdr:to>
    <xdr:sp macro="" textlink="">
      <xdr:nvSpPr>
        <xdr:cNvPr id="34872" name="AutoShape 8">
          <a:extLst>
            <a:ext uri="{FF2B5EF4-FFF2-40B4-BE49-F238E27FC236}">
              <a16:creationId xmlns:a16="http://schemas.microsoft.com/office/drawing/2014/main" id="{00000000-0008-0000-0600-000038880000}"/>
            </a:ext>
          </a:extLst>
        </xdr:cNvPr>
        <xdr:cNvSpPr>
          <a:spLocks noChangeArrowheads="1"/>
        </xdr:cNvSpPr>
      </xdr:nvSpPr>
      <xdr:spPr bwMode="auto">
        <a:xfrm rot="10800000">
          <a:off x="3800475" y="1028700"/>
          <a:ext cx="542925" cy="180975"/>
        </a:xfrm>
        <a:prstGeom prst="rightArrow">
          <a:avLst>
            <a:gd name="adj1" fmla="val 50000"/>
            <a:gd name="adj2" fmla="val 75000"/>
          </a:avLst>
        </a:prstGeom>
        <a:solidFill>
          <a:srgbClr val="CCECFF"/>
        </a:solidFill>
        <a:ln w="9525">
          <a:solidFill>
            <a:schemeClr val="tx2">
              <a:lumMod val="60000"/>
              <a:lumOff val="4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th-TH" sz="1600" b="0" i="0" u="none" strike="noStrike" baseline="0">
              <a:solidFill>
                <a:srgbClr val="000000"/>
              </a:solidFill>
              <a:latin typeface="DilleniaUPC"/>
              <a:cs typeface="DilleniaUPC"/>
            </a:rPr>
            <a:t>..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30480</xdr:colOff>
          <xdr:row>1</xdr:row>
          <xdr:rowOff>655320</xdr:rowOff>
        </xdr:from>
        <xdr:to>
          <xdr:col>11</xdr:col>
          <xdr:colOff>274320</xdr:colOff>
          <xdr:row>3</xdr:row>
          <xdr:rowOff>0</xdr:rowOff>
        </xdr:to>
        <xdr:sp macro="" textlink="">
          <xdr:nvSpPr>
            <xdr:cNvPr id="34820" name="Spinner 4" hidden="1">
              <a:extLst>
                <a:ext uri="{63B3BB69-23CF-44E3-9099-C40C66FF867C}">
                  <a14:compatExt spid="_x0000_s34820"/>
                </a:ext>
                <a:ext uri="{FF2B5EF4-FFF2-40B4-BE49-F238E27FC236}">
                  <a16:creationId xmlns:a16="http://schemas.microsoft.com/office/drawing/2014/main" id="{00000000-0008-0000-0400-00000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30480</xdr:colOff>
          <xdr:row>2</xdr:row>
          <xdr:rowOff>525780</xdr:rowOff>
        </xdr:from>
        <xdr:to>
          <xdr:col>11</xdr:col>
          <xdr:colOff>274320</xdr:colOff>
          <xdr:row>4</xdr:row>
          <xdr:rowOff>7620</xdr:rowOff>
        </xdr:to>
        <xdr:sp macro="" textlink="">
          <xdr:nvSpPr>
            <xdr:cNvPr id="34821" name="Spinner 5" hidden="1">
              <a:extLst>
                <a:ext uri="{63B3BB69-23CF-44E3-9099-C40C66FF867C}">
                  <a14:compatExt spid="_x0000_s34821"/>
                </a:ext>
                <a:ext uri="{FF2B5EF4-FFF2-40B4-BE49-F238E27FC236}">
                  <a16:creationId xmlns:a16="http://schemas.microsoft.com/office/drawing/2014/main" id="{00000000-0008-0000-0400-000005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30480</xdr:colOff>
          <xdr:row>4</xdr:row>
          <xdr:rowOff>7620</xdr:rowOff>
        </xdr:from>
        <xdr:to>
          <xdr:col>11</xdr:col>
          <xdr:colOff>274320</xdr:colOff>
          <xdr:row>5</xdr:row>
          <xdr:rowOff>30480</xdr:rowOff>
        </xdr:to>
        <xdr:sp macro="" textlink="">
          <xdr:nvSpPr>
            <xdr:cNvPr id="34822" name="Spinner 6" hidden="1">
              <a:extLst>
                <a:ext uri="{63B3BB69-23CF-44E3-9099-C40C66FF867C}">
                  <a14:compatExt spid="_x0000_s34822"/>
                </a:ext>
                <a:ext uri="{FF2B5EF4-FFF2-40B4-BE49-F238E27FC236}">
                  <a16:creationId xmlns:a16="http://schemas.microsoft.com/office/drawing/2014/main" id="{00000000-0008-0000-0400-000006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</xdr:colOff>
          <xdr:row>4</xdr:row>
          <xdr:rowOff>0</xdr:rowOff>
        </xdr:from>
        <xdr:to>
          <xdr:col>5</xdr:col>
          <xdr:colOff>289560</xdr:colOff>
          <xdr:row>5</xdr:row>
          <xdr:rowOff>0</xdr:rowOff>
        </xdr:to>
        <xdr:sp macro="" textlink="">
          <xdr:nvSpPr>
            <xdr:cNvPr id="34852" name="Spinner 36" hidden="1">
              <a:extLst>
                <a:ext uri="{63B3BB69-23CF-44E3-9099-C40C66FF867C}">
                  <a14:compatExt spid="_x0000_s34852"/>
                </a:ext>
                <a:ext uri="{FF2B5EF4-FFF2-40B4-BE49-F238E27FC236}">
                  <a16:creationId xmlns:a16="http://schemas.microsoft.com/office/drawing/2014/main" id="{00000000-0008-0000-0400-00002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22860</xdr:colOff>
          <xdr:row>10</xdr:row>
          <xdr:rowOff>0</xdr:rowOff>
        </xdr:from>
        <xdr:to>
          <xdr:col>10</xdr:col>
          <xdr:colOff>297180</xdr:colOff>
          <xdr:row>10</xdr:row>
          <xdr:rowOff>655320</xdr:rowOff>
        </xdr:to>
        <xdr:sp macro="" textlink="">
          <xdr:nvSpPr>
            <xdr:cNvPr id="34855" name="Spinner 39" hidden="1">
              <a:extLst>
                <a:ext uri="{63B3BB69-23CF-44E3-9099-C40C66FF867C}">
                  <a14:compatExt spid="_x0000_s34855"/>
                </a:ext>
                <a:ext uri="{FF2B5EF4-FFF2-40B4-BE49-F238E27FC236}">
                  <a16:creationId xmlns:a16="http://schemas.microsoft.com/office/drawing/2014/main" id="{00000000-0008-0000-0400-000027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22860</xdr:colOff>
          <xdr:row>12</xdr:row>
          <xdr:rowOff>655320</xdr:rowOff>
        </xdr:from>
        <xdr:to>
          <xdr:col>10</xdr:col>
          <xdr:colOff>297180</xdr:colOff>
          <xdr:row>13</xdr:row>
          <xdr:rowOff>655320</xdr:rowOff>
        </xdr:to>
        <xdr:sp macro="" textlink="">
          <xdr:nvSpPr>
            <xdr:cNvPr id="34856" name="Spinner 40" hidden="1">
              <a:extLst>
                <a:ext uri="{63B3BB69-23CF-44E3-9099-C40C66FF867C}">
                  <a14:compatExt spid="_x0000_s34856"/>
                </a:ext>
                <a:ext uri="{FF2B5EF4-FFF2-40B4-BE49-F238E27FC236}">
                  <a16:creationId xmlns:a16="http://schemas.microsoft.com/office/drawing/2014/main" id="{00000000-0008-0000-0400-000028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250372</xdr:colOff>
      <xdr:row>0</xdr:row>
      <xdr:rowOff>228600</xdr:rowOff>
    </xdr:from>
    <xdr:to>
      <xdr:col>34</xdr:col>
      <xdr:colOff>326571</xdr:colOff>
      <xdr:row>22</xdr:row>
      <xdr:rowOff>315686</xdr:rowOff>
    </xdr:to>
    <xdr:sp macro="" textlink="">
      <xdr:nvSpPr>
        <xdr:cNvPr id="124065" name="Rectangle 161">
          <a:extLst>
            <a:ext uri="{FF2B5EF4-FFF2-40B4-BE49-F238E27FC236}">
              <a16:creationId xmlns:a16="http://schemas.microsoft.com/office/drawing/2014/main" id="{00000000-0008-0000-0700-0000A1E40100}"/>
            </a:ext>
          </a:extLst>
        </xdr:cNvPr>
        <xdr:cNvSpPr>
          <a:spLocks noChangeArrowheads="1"/>
        </xdr:cNvSpPr>
      </xdr:nvSpPr>
      <xdr:spPr bwMode="auto">
        <a:xfrm>
          <a:off x="15479486" y="228600"/>
          <a:ext cx="2558142" cy="7696200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</xdr:colOff>
          <xdr:row>4</xdr:row>
          <xdr:rowOff>7620</xdr:rowOff>
        </xdr:from>
        <xdr:to>
          <xdr:col>6</xdr:col>
          <xdr:colOff>922020</xdr:colOff>
          <xdr:row>4</xdr:row>
          <xdr:rowOff>335280</xdr:rowOff>
        </xdr:to>
        <xdr:sp macro="" textlink="">
          <xdr:nvSpPr>
            <xdr:cNvPr id="123905" name="Spinner 1" hidden="1">
              <a:extLst>
                <a:ext uri="{63B3BB69-23CF-44E3-9099-C40C66FF867C}">
                  <a14:compatExt spid="_x0000_s123905"/>
                </a:ext>
                <a:ext uri="{FF2B5EF4-FFF2-40B4-BE49-F238E27FC236}">
                  <a16:creationId xmlns:a16="http://schemas.microsoft.com/office/drawing/2014/main" id="{00000000-0008-0000-0500-000001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7620</xdr:colOff>
          <xdr:row>3</xdr:row>
          <xdr:rowOff>7620</xdr:rowOff>
        </xdr:from>
        <xdr:to>
          <xdr:col>13</xdr:col>
          <xdr:colOff>335280</xdr:colOff>
          <xdr:row>4</xdr:row>
          <xdr:rowOff>0</xdr:rowOff>
        </xdr:to>
        <xdr:sp macro="" textlink="">
          <xdr:nvSpPr>
            <xdr:cNvPr id="124055" name="Spinner 151" hidden="1">
              <a:extLst>
                <a:ext uri="{63B3BB69-23CF-44E3-9099-C40C66FF867C}">
                  <a14:compatExt spid="_x0000_s124055"/>
                </a:ext>
                <a:ext uri="{FF2B5EF4-FFF2-40B4-BE49-F238E27FC236}">
                  <a16:creationId xmlns:a16="http://schemas.microsoft.com/office/drawing/2014/main" id="{00000000-0008-0000-0500-000097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7620</xdr:colOff>
          <xdr:row>2</xdr:row>
          <xdr:rowOff>7620</xdr:rowOff>
        </xdr:from>
        <xdr:to>
          <xdr:col>13</xdr:col>
          <xdr:colOff>335280</xdr:colOff>
          <xdr:row>3</xdr:row>
          <xdr:rowOff>0</xdr:rowOff>
        </xdr:to>
        <xdr:sp macro="" textlink="">
          <xdr:nvSpPr>
            <xdr:cNvPr id="124056" name="Spinner 152" hidden="1">
              <a:extLst>
                <a:ext uri="{63B3BB69-23CF-44E3-9099-C40C66FF867C}">
                  <a14:compatExt spid="_x0000_s124056"/>
                </a:ext>
                <a:ext uri="{FF2B5EF4-FFF2-40B4-BE49-F238E27FC236}">
                  <a16:creationId xmlns:a16="http://schemas.microsoft.com/office/drawing/2014/main" id="{00000000-0008-0000-0500-000098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245534</xdr:rowOff>
    </xdr:from>
    <xdr:to>
      <xdr:col>17</xdr:col>
      <xdr:colOff>66674</xdr:colOff>
      <xdr:row>38</xdr:row>
      <xdr:rowOff>78318</xdr:rowOff>
    </xdr:to>
    <xdr:sp macro="" textlink="">
      <xdr:nvSpPr>
        <xdr:cNvPr id="126987" name="Rectangle 11">
          <a:extLst>
            <a:ext uri="{FF2B5EF4-FFF2-40B4-BE49-F238E27FC236}">
              <a16:creationId xmlns:a16="http://schemas.microsoft.com/office/drawing/2014/main" id="{00000000-0008-0000-0800-00000BF00100}"/>
            </a:ext>
          </a:extLst>
        </xdr:cNvPr>
        <xdr:cNvSpPr>
          <a:spLocks noChangeArrowheads="1"/>
        </xdr:cNvSpPr>
      </xdr:nvSpPr>
      <xdr:spPr bwMode="auto">
        <a:xfrm>
          <a:off x="0" y="8636001"/>
          <a:ext cx="11657541" cy="917998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</xdr:colOff>
          <xdr:row>1</xdr:row>
          <xdr:rowOff>472440</xdr:rowOff>
        </xdr:from>
        <xdr:to>
          <xdr:col>5</xdr:col>
          <xdr:colOff>266700</xdr:colOff>
          <xdr:row>2</xdr:row>
          <xdr:rowOff>464820</xdr:rowOff>
        </xdr:to>
        <xdr:sp macro="" textlink="">
          <xdr:nvSpPr>
            <xdr:cNvPr id="126977" name="Spinner 1" hidden="1">
              <a:extLst>
                <a:ext uri="{63B3BB69-23CF-44E3-9099-C40C66FF867C}">
                  <a14:compatExt spid="_x0000_s126977"/>
                </a:ext>
                <a:ext uri="{FF2B5EF4-FFF2-40B4-BE49-F238E27FC236}">
                  <a16:creationId xmlns:a16="http://schemas.microsoft.com/office/drawing/2014/main" id="{00000000-0008-0000-0600-000001F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6</xdr:row>
          <xdr:rowOff>7620</xdr:rowOff>
        </xdr:from>
        <xdr:to>
          <xdr:col>5</xdr:col>
          <xdr:colOff>289560</xdr:colOff>
          <xdr:row>6</xdr:row>
          <xdr:rowOff>464820</xdr:rowOff>
        </xdr:to>
        <xdr:sp macro="" textlink="">
          <xdr:nvSpPr>
            <xdr:cNvPr id="126978" name="Spinner 2" hidden="1">
              <a:extLst>
                <a:ext uri="{63B3BB69-23CF-44E3-9099-C40C66FF867C}">
                  <a14:compatExt spid="_x0000_s126978"/>
                </a:ext>
                <a:ext uri="{FF2B5EF4-FFF2-40B4-BE49-F238E27FC236}">
                  <a16:creationId xmlns:a16="http://schemas.microsoft.com/office/drawing/2014/main" id="{00000000-0008-0000-0600-000002F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</xdr:colOff>
          <xdr:row>9</xdr:row>
          <xdr:rowOff>472440</xdr:rowOff>
        </xdr:from>
        <xdr:to>
          <xdr:col>5</xdr:col>
          <xdr:colOff>266700</xdr:colOff>
          <xdr:row>11</xdr:row>
          <xdr:rowOff>0</xdr:rowOff>
        </xdr:to>
        <xdr:sp macro="" textlink="">
          <xdr:nvSpPr>
            <xdr:cNvPr id="126979" name="Spinner 3" hidden="1">
              <a:extLst>
                <a:ext uri="{63B3BB69-23CF-44E3-9099-C40C66FF867C}">
                  <a14:compatExt spid="_x0000_s126979"/>
                </a:ext>
                <a:ext uri="{FF2B5EF4-FFF2-40B4-BE49-F238E27FC236}">
                  <a16:creationId xmlns:a16="http://schemas.microsoft.com/office/drawing/2014/main" id="{00000000-0008-0000-0600-000003F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7620</xdr:colOff>
          <xdr:row>7</xdr:row>
          <xdr:rowOff>0</xdr:rowOff>
        </xdr:from>
        <xdr:to>
          <xdr:col>14</xdr:col>
          <xdr:colOff>297180</xdr:colOff>
          <xdr:row>7</xdr:row>
          <xdr:rowOff>480060</xdr:rowOff>
        </xdr:to>
        <xdr:sp macro="" textlink="">
          <xdr:nvSpPr>
            <xdr:cNvPr id="126988" name="Spinner 12" hidden="1">
              <a:extLst>
                <a:ext uri="{63B3BB69-23CF-44E3-9099-C40C66FF867C}">
                  <a14:compatExt spid="_x0000_s126988"/>
                </a:ext>
                <a:ext uri="{FF2B5EF4-FFF2-40B4-BE49-F238E27FC236}">
                  <a16:creationId xmlns:a16="http://schemas.microsoft.com/office/drawing/2014/main" id="{00000000-0008-0000-0600-00000CF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7620</xdr:colOff>
          <xdr:row>5</xdr:row>
          <xdr:rowOff>0</xdr:rowOff>
        </xdr:from>
        <xdr:to>
          <xdr:col>14</xdr:col>
          <xdr:colOff>304800</xdr:colOff>
          <xdr:row>5</xdr:row>
          <xdr:rowOff>480060</xdr:rowOff>
        </xdr:to>
        <xdr:sp macro="" textlink="">
          <xdr:nvSpPr>
            <xdr:cNvPr id="126989" name="Spinner 13" hidden="1">
              <a:extLst>
                <a:ext uri="{63B3BB69-23CF-44E3-9099-C40C66FF867C}">
                  <a14:compatExt spid="_x0000_s126989"/>
                </a:ext>
                <a:ext uri="{FF2B5EF4-FFF2-40B4-BE49-F238E27FC236}">
                  <a16:creationId xmlns:a16="http://schemas.microsoft.com/office/drawing/2014/main" id="{00000000-0008-0000-0600-00000DF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609600</xdr:colOff>
          <xdr:row>6</xdr:row>
          <xdr:rowOff>7620</xdr:rowOff>
        </xdr:from>
        <xdr:to>
          <xdr:col>8</xdr:col>
          <xdr:colOff>274320</xdr:colOff>
          <xdr:row>6</xdr:row>
          <xdr:rowOff>464820</xdr:rowOff>
        </xdr:to>
        <xdr:sp macro="" textlink="">
          <xdr:nvSpPr>
            <xdr:cNvPr id="126991" name="Spinner 15" hidden="1">
              <a:extLst>
                <a:ext uri="{63B3BB69-23CF-44E3-9099-C40C66FF867C}">
                  <a14:compatExt spid="_x0000_s126991"/>
                </a:ext>
                <a:ext uri="{FF2B5EF4-FFF2-40B4-BE49-F238E27FC236}">
                  <a16:creationId xmlns:a16="http://schemas.microsoft.com/office/drawing/2014/main" id="{00000000-0008-0000-0600-00000FF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</xdr:colOff>
          <xdr:row>3</xdr:row>
          <xdr:rowOff>0</xdr:rowOff>
        </xdr:from>
        <xdr:to>
          <xdr:col>5</xdr:col>
          <xdr:colOff>266700</xdr:colOff>
          <xdr:row>3</xdr:row>
          <xdr:rowOff>472440</xdr:rowOff>
        </xdr:to>
        <xdr:sp macro="" textlink="">
          <xdr:nvSpPr>
            <xdr:cNvPr id="126993" name="Spinner 17" hidden="1">
              <a:extLst>
                <a:ext uri="{63B3BB69-23CF-44E3-9099-C40C66FF867C}">
                  <a14:compatExt spid="_x0000_s126993"/>
                </a:ext>
                <a:ext uri="{FF2B5EF4-FFF2-40B4-BE49-F238E27FC236}">
                  <a16:creationId xmlns:a16="http://schemas.microsoft.com/office/drawing/2014/main" id="{00000000-0008-0000-0600-000011F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353785</xdr:rowOff>
    </xdr:from>
    <xdr:to>
      <xdr:col>15</xdr:col>
      <xdr:colOff>47625</xdr:colOff>
      <xdr:row>39</xdr:row>
      <xdr:rowOff>85725</xdr:rowOff>
    </xdr:to>
    <xdr:sp macro="" textlink="">
      <xdr:nvSpPr>
        <xdr:cNvPr id="128003" name="Rectangle 3">
          <a:extLst>
            <a:ext uri="{FF2B5EF4-FFF2-40B4-BE49-F238E27FC236}">
              <a16:creationId xmlns:a16="http://schemas.microsoft.com/office/drawing/2014/main" id="{00000000-0008-0000-0900-000003F40100}"/>
            </a:ext>
          </a:extLst>
        </xdr:cNvPr>
        <xdr:cNvSpPr>
          <a:spLocks noChangeArrowheads="1"/>
        </xdr:cNvSpPr>
      </xdr:nvSpPr>
      <xdr:spPr bwMode="auto">
        <a:xfrm>
          <a:off x="0" y="7756071"/>
          <a:ext cx="10389054" cy="750161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22860</xdr:colOff>
          <xdr:row>4</xdr:row>
          <xdr:rowOff>7620</xdr:rowOff>
        </xdr:from>
        <xdr:to>
          <xdr:col>11</xdr:col>
          <xdr:colOff>304800</xdr:colOff>
          <xdr:row>5</xdr:row>
          <xdr:rowOff>0</xdr:rowOff>
        </xdr:to>
        <xdr:sp macro="" textlink="">
          <xdr:nvSpPr>
            <xdr:cNvPr id="128004" name="Spinner 4" hidden="1">
              <a:extLst>
                <a:ext uri="{63B3BB69-23CF-44E3-9099-C40C66FF867C}">
                  <a14:compatExt spid="_x0000_s128004"/>
                </a:ext>
                <a:ext uri="{FF2B5EF4-FFF2-40B4-BE49-F238E27FC236}">
                  <a16:creationId xmlns:a16="http://schemas.microsoft.com/office/drawing/2014/main" id="{00000000-0008-0000-0700-000004F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22860</xdr:colOff>
          <xdr:row>2</xdr:row>
          <xdr:rowOff>495300</xdr:rowOff>
        </xdr:from>
        <xdr:to>
          <xdr:col>11</xdr:col>
          <xdr:colOff>304800</xdr:colOff>
          <xdr:row>4</xdr:row>
          <xdr:rowOff>0</xdr:rowOff>
        </xdr:to>
        <xdr:sp macro="" textlink="">
          <xdr:nvSpPr>
            <xdr:cNvPr id="128005" name="Spinner 5" hidden="1">
              <a:extLst>
                <a:ext uri="{63B3BB69-23CF-44E3-9099-C40C66FF867C}">
                  <a14:compatExt spid="_x0000_s128005"/>
                </a:ext>
                <a:ext uri="{FF2B5EF4-FFF2-40B4-BE49-F238E27FC236}">
                  <a16:creationId xmlns:a16="http://schemas.microsoft.com/office/drawing/2014/main" id="{00000000-0008-0000-0700-000005F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22860</xdr:colOff>
          <xdr:row>2</xdr:row>
          <xdr:rowOff>7620</xdr:rowOff>
        </xdr:from>
        <xdr:to>
          <xdr:col>17</xdr:col>
          <xdr:colOff>838200</xdr:colOff>
          <xdr:row>3</xdr:row>
          <xdr:rowOff>358140</xdr:rowOff>
        </xdr:to>
        <xdr:sp macro="" textlink="">
          <xdr:nvSpPr>
            <xdr:cNvPr id="128006" name="Spinner 6" hidden="1">
              <a:extLst>
                <a:ext uri="{63B3BB69-23CF-44E3-9099-C40C66FF867C}">
                  <a14:compatExt spid="_x0000_s128006"/>
                </a:ext>
                <a:ext uri="{FF2B5EF4-FFF2-40B4-BE49-F238E27FC236}">
                  <a16:creationId xmlns:a16="http://schemas.microsoft.com/office/drawing/2014/main" id="{00000000-0008-0000-0700-000006F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7620</xdr:colOff>
          <xdr:row>2</xdr:row>
          <xdr:rowOff>7620</xdr:rowOff>
        </xdr:from>
        <xdr:to>
          <xdr:col>12</xdr:col>
          <xdr:colOff>975360</xdr:colOff>
          <xdr:row>2</xdr:row>
          <xdr:rowOff>449580</xdr:rowOff>
        </xdr:to>
        <xdr:sp macro="" textlink="">
          <xdr:nvSpPr>
            <xdr:cNvPr id="130054" name="Spinner 6" hidden="1">
              <a:extLst>
                <a:ext uri="{63B3BB69-23CF-44E3-9099-C40C66FF867C}">
                  <a14:compatExt spid="_x0000_s130054"/>
                </a:ext>
                <a:ext uri="{FF2B5EF4-FFF2-40B4-BE49-F238E27FC236}">
                  <a16:creationId xmlns:a16="http://schemas.microsoft.com/office/drawing/2014/main" id="{00000000-0008-0000-0800-000006F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7620</xdr:colOff>
          <xdr:row>1</xdr:row>
          <xdr:rowOff>15240</xdr:rowOff>
        </xdr:from>
        <xdr:to>
          <xdr:col>17</xdr:col>
          <xdr:colOff>967740</xdr:colOff>
          <xdr:row>1</xdr:row>
          <xdr:rowOff>525780</xdr:rowOff>
        </xdr:to>
        <xdr:sp macro="" textlink="">
          <xdr:nvSpPr>
            <xdr:cNvPr id="130058" name="Spinner 10" hidden="1">
              <a:extLst>
                <a:ext uri="{63B3BB69-23CF-44E3-9099-C40C66FF867C}">
                  <a14:compatExt spid="_x0000_s130058"/>
                </a:ext>
                <a:ext uri="{FF2B5EF4-FFF2-40B4-BE49-F238E27FC236}">
                  <a16:creationId xmlns:a16="http://schemas.microsoft.com/office/drawing/2014/main" id="{00000000-0008-0000-0800-00000AF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22860</xdr:colOff>
          <xdr:row>1</xdr:row>
          <xdr:rowOff>7620</xdr:rowOff>
        </xdr:from>
        <xdr:to>
          <xdr:col>19</xdr:col>
          <xdr:colOff>876300</xdr:colOff>
          <xdr:row>2</xdr:row>
          <xdr:rowOff>381000</xdr:rowOff>
        </xdr:to>
        <xdr:sp macro="" textlink="">
          <xdr:nvSpPr>
            <xdr:cNvPr id="186371" name="Spinner 3" hidden="1">
              <a:extLst>
                <a:ext uri="{63B3BB69-23CF-44E3-9099-C40C66FF867C}">
                  <a14:compatExt spid="_x0000_s186371"/>
                </a:ext>
                <a:ext uri="{FF2B5EF4-FFF2-40B4-BE49-F238E27FC236}">
                  <a16:creationId xmlns:a16="http://schemas.microsoft.com/office/drawing/2014/main" id="{00000000-0008-0000-0900-000003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</xdr:colOff>
          <xdr:row>12</xdr:row>
          <xdr:rowOff>7620</xdr:rowOff>
        </xdr:from>
        <xdr:to>
          <xdr:col>7</xdr:col>
          <xdr:colOff>1196340</xdr:colOff>
          <xdr:row>12</xdr:row>
          <xdr:rowOff>510540</xdr:rowOff>
        </xdr:to>
        <xdr:sp macro="" textlink="">
          <xdr:nvSpPr>
            <xdr:cNvPr id="186378" name="Spinner 10" hidden="1">
              <a:extLst>
                <a:ext uri="{63B3BB69-23CF-44E3-9099-C40C66FF867C}">
                  <a14:compatExt spid="_x0000_s186378"/>
                </a:ext>
                <a:ext uri="{FF2B5EF4-FFF2-40B4-BE49-F238E27FC236}">
                  <a16:creationId xmlns:a16="http://schemas.microsoft.com/office/drawing/2014/main" id="{00000000-0008-0000-0900-00000A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</xdr:colOff>
          <xdr:row>16</xdr:row>
          <xdr:rowOff>15240</xdr:rowOff>
        </xdr:from>
        <xdr:to>
          <xdr:col>7</xdr:col>
          <xdr:colOff>640080</xdr:colOff>
          <xdr:row>17</xdr:row>
          <xdr:rowOff>0</xdr:rowOff>
        </xdr:to>
        <xdr:sp macro="" textlink="">
          <xdr:nvSpPr>
            <xdr:cNvPr id="186379" name="Spinner 11" hidden="1">
              <a:extLst>
                <a:ext uri="{63B3BB69-23CF-44E3-9099-C40C66FF867C}">
                  <a14:compatExt spid="_x0000_s186379"/>
                </a:ext>
                <a:ext uri="{FF2B5EF4-FFF2-40B4-BE49-F238E27FC236}">
                  <a16:creationId xmlns:a16="http://schemas.microsoft.com/office/drawing/2014/main" id="{00000000-0008-0000-0900-00000B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</xdr:colOff>
          <xdr:row>21</xdr:row>
          <xdr:rowOff>15240</xdr:rowOff>
        </xdr:from>
        <xdr:to>
          <xdr:col>7</xdr:col>
          <xdr:colOff>1196340</xdr:colOff>
          <xdr:row>21</xdr:row>
          <xdr:rowOff>426720</xdr:rowOff>
        </xdr:to>
        <xdr:sp macro="" textlink="">
          <xdr:nvSpPr>
            <xdr:cNvPr id="186380" name="Spinner 12" hidden="1">
              <a:extLst>
                <a:ext uri="{63B3BB69-23CF-44E3-9099-C40C66FF867C}">
                  <a14:compatExt spid="_x0000_s186380"/>
                </a:ext>
                <a:ext uri="{FF2B5EF4-FFF2-40B4-BE49-F238E27FC236}">
                  <a16:creationId xmlns:a16="http://schemas.microsoft.com/office/drawing/2014/main" id="{00000000-0008-0000-0900-00000C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655320</xdr:colOff>
          <xdr:row>16</xdr:row>
          <xdr:rowOff>7620</xdr:rowOff>
        </xdr:from>
        <xdr:to>
          <xdr:col>7</xdr:col>
          <xdr:colOff>1196340</xdr:colOff>
          <xdr:row>17</xdr:row>
          <xdr:rowOff>0</xdr:rowOff>
        </xdr:to>
        <xdr:sp macro="" textlink="">
          <xdr:nvSpPr>
            <xdr:cNvPr id="186381" name="Spinner 13" hidden="1">
              <a:extLst>
                <a:ext uri="{63B3BB69-23CF-44E3-9099-C40C66FF867C}">
                  <a14:compatExt spid="_x0000_s186381"/>
                </a:ext>
                <a:ext uri="{FF2B5EF4-FFF2-40B4-BE49-F238E27FC236}">
                  <a16:creationId xmlns:a16="http://schemas.microsoft.com/office/drawing/2014/main" id="{00000000-0008-0000-0900-00000D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22860</xdr:colOff>
          <xdr:row>13</xdr:row>
          <xdr:rowOff>7620</xdr:rowOff>
        </xdr:from>
        <xdr:to>
          <xdr:col>7</xdr:col>
          <xdr:colOff>1196340</xdr:colOff>
          <xdr:row>13</xdr:row>
          <xdr:rowOff>510540</xdr:rowOff>
        </xdr:to>
        <xdr:sp macro="" textlink="">
          <xdr:nvSpPr>
            <xdr:cNvPr id="186382" name="Spinner 14" hidden="1">
              <a:extLst>
                <a:ext uri="{63B3BB69-23CF-44E3-9099-C40C66FF867C}">
                  <a14:compatExt spid="_x0000_s186382"/>
                </a:ext>
                <a:ext uri="{FF2B5EF4-FFF2-40B4-BE49-F238E27FC236}">
                  <a16:creationId xmlns:a16="http://schemas.microsoft.com/office/drawing/2014/main" id="{00000000-0008-0000-0900-00000ED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14</xdr:row>
          <xdr:rowOff>22860</xdr:rowOff>
        </xdr:from>
        <xdr:to>
          <xdr:col>2</xdr:col>
          <xdr:colOff>1272540</xdr:colOff>
          <xdr:row>15</xdr:row>
          <xdr:rowOff>434340</xdr:rowOff>
        </xdr:to>
        <xdr:sp macro="" textlink="">
          <xdr:nvSpPr>
            <xdr:cNvPr id="132107" name="Spinner 11" hidden="1">
              <a:extLst>
                <a:ext uri="{63B3BB69-23CF-44E3-9099-C40C66FF867C}">
                  <a14:compatExt spid="_x0000_s132107"/>
                </a:ext>
                <a:ext uri="{FF2B5EF4-FFF2-40B4-BE49-F238E27FC236}">
                  <a16:creationId xmlns:a16="http://schemas.microsoft.com/office/drawing/2014/main" id="{00000000-0008-0000-0A00-00000B0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39</xdr:col>
          <xdr:colOff>15240</xdr:colOff>
          <xdr:row>2</xdr:row>
          <xdr:rowOff>7620</xdr:rowOff>
        </xdr:from>
        <xdr:to>
          <xdr:col>40</xdr:col>
          <xdr:colOff>0</xdr:colOff>
          <xdr:row>3</xdr:row>
          <xdr:rowOff>510540</xdr:rowOff>
        </xdr:to>
        <xdr:sp macro="" textlink="">
          <xdr:nvSpPr>
            <xdr:cNvPr id="132114" name="Spinner 18" hidden="1">
              <a:extLst>
                <a:ext uri="{63B3BB69-23CF-44E3-9099-C40C66FF867C}">
                  <a14:compatExt spid="_x0000_s132114"/>
                </a:ext>
                <a:ext uri="{FF2B5EF4-FFF2-40B4-BE49-F238E27FC236}">
                  <a16:creationId xmlns:a16="http://schemas.microsoft.com/office/drawing/2014/main" id="{00000000-0008-0000-0A00-0000120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5</xdr:row>
          <xdr:rowOff>220980</xdr:rowOff>
        </xdr:from>
        <xdr:to>
          <xdr:col>2</xdr:col>
          <xdr:colOff>845820</xdr:colOff>
          <xdr:row>6</xdr:row>
          <xdr:rowOff>259080</xdr:rowOff>
        </xdr:to>
        <xdr:sp macro="" textlink="">
          <xdr:nvSpPr>
            <xdr:cNvPr id="124933" name="Spinner 5" hidden="1">
              <a:extLst>
                <a:ext uri="{63B3BB69-23CF-44E3-9099-C40C66FF867C}">
                  <a14:compatExt spid="_x0000_s124933"/>
                </a:ext>
                <a:ext uri="{FF2B5EF4-FFF2-40B4-BE49-F238E27FC236}">
                  <a16:creationId xmlns:a16="http://schemas.microsoft.com/office/drawing/2014/main" id="{00000000-0008-0000-0D00-000005E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22860</xdr:colOff>
          <xdr:row>5</xdr:row>
          <xdr:rowOff>7620</xdr:rowOff>
        </xdr:from>
        <xdr:to>
          <xdr:col>18</xdr:col>
          <xdr:colOff>0</xdr:colOff>
          <xdr:row>6</xdr:row>
          <xdr:rowOff>274320</xdr:rowOff>
        </xdr:to>
        <xdr:sp macro="" textlink="">
          <xdr:nvSpPr>
            <xdr:cNvPr id="124938" name="Spinner 10" hidden="1">
              <a:extLst>
                <a:ext uri="{63B3BB69-23CF-44E3-9099-C40C66FF867C}">
                  <a14:compatExt spid="_x0000_s124938"/>
                </a:ext>
                <a:ext uri="{FF2B5EF4-FFF2-40B4-BE49-F238E27FC236}">
                  <a16:creationId xmlns:a16="http://schemas.microsoft.com/office/drawing/2014/main" id="{00000000-0008-0000-0D00-00000AE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15240</xdr:colOff>
          <xdr:row>1</xdr:row>
          <xdr:rowOff>15240</xdr:rowOff>
        </xdr:from>
        <xdr:to>
          <xdr:col>18</xdr:col>
          <xdr:colOff>0</xdr:colOff>
          <xdr:row>2</xdr:row>
          <xdr:rowOff>335280</xdr:rowOff>
        </xdr:to>
        <xdr:sp macro="" textlink="">
          <xdr:nvSpPr>
            <xdr:cNvPr id="124943" name="Spinner 15" hidden="1">
              <a:extLst>
                <a:ext uri="{63B3BB69-23CF-44E3-9099-C40C66FF867C}">
                  <a14:compatExt spid="_x0000_s124943"/>
                </a:ext>
                <a:ext uri="{FF2B5EF4-FFF2-40B4-BE49-F238E27FC236}">
                  <a16:creationId xmlns:a16="http://schemas.microsoft.com/office/drawing/2014/main" id="{00000000-0008-0000-0D00-00000FE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</xdr:colOff>
          <xdr:row>5</xdr:row>
          <xdr:rowOff>365760</xdr:rowOff>
        </xdr:from>
        <xdr:to>
          <xdr:col>2</xdr:col>
          <xdr:colOff>853440</xdr:colOff>
          <xdr:row>6</xdr:row>
          <xdr:rowOff>403860</xdr:rowOff>
        </xdr:to>
        <xdr:sp macro="" textlink="">
          <xdr:nvSpPr>
            <xdr:cNvPr id="229377" name="Spinner 1" hidden="1">
              <a:extLst>
                <a:ext uri="{63B3BB69-23CF-44E3-9099-C40C66FF867C}">
                  <a14:compatExt spid="_x0000_s229377"/>
                </a:ext>
                <a:ext uri="{FF2B5EF4-FFF2-40B4-BE49-F238E27FC236}">
                  <a16:creationId xmlns:a16="http://schemas.microsoft.com/office/drawing/2014/main" id="{00000000-0008-0000-0E00-00000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22860</xdr:colOff>
          <xdr:row>3</xdr:row>
          <xdr:rowOff>7620</xdr:rowOff>
        </xdr:from>
        <xdr:to>
          <xdr:col>18</xdr:col>
          <xdr:colOff>0</xdr:colOff>
          <xdr:row>5</xdr:row>
          <xdr:rowOff>0</xdr:rowOff>
        </xdr:to>
        <xdr:sp macro="" textlink="">
          <xdr:nvSpPr>
            <xdr:cNvPr id="229378" name="Spinner 2" hidden="1">
              <a:extLst>
                <a:ext uri="{63B3BB69-23CF-44E3-9099-C40C66FF867C}">
                  <a14:compatExt spid="_x0000_s229378"/>
                </a:ext>
                <a:ext uri="{FF2B5EF4-FFF2-40B4-BE49-F238E27FC236}">
                  <a16:creationId xmlns:a16="http://schemas.microsoft.com/office/drawing/2014/main" id="{00000000-0008-0000-0E00-000002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15240</xdr:colOff>
          <xdr:row>1</xdr:row>
          <xdr:rowOff>15240</xdr:rowOff>
        </xdr:from>
        <xdr:to>
          <xdr:col>17</xdr:col>
          <xdr:colOff>1066800</xdr:colOff>
          <xdr:row>1</xdr:row>
          <xdr:rowOff>601980</xdr:rowOff>
        </xdr:to>
        <xdr:sp macro="" textlink="">
          <xdr:nvSpPr>
            <xdr:cNvPr id="229379" name="Spinner 3" hidden="1">
              <a:extLst>
                <a:ext uri="{63B3BB69-23CF-44E3-9099-C40C66FF867C}">
                  <a14:compatExt spid="_x0000_s229379"/>
                </a:ext>
                <a:ext uri="{FF2B5EF4-FFF2-40B4-BE49-F238E27FC236}">
                  <a16:creationId xmlns:a16="http://schemas.microsoft.com/office/drawing/2014/main" id="{00000000-0008-0000-0E00-00000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ACHYA%20DOCUMENTS/Bank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ำนวณยอดเงินฝาก"/>
      <sheetName val="คำนวณเงินผ่อน"/>
      <sheetName val="Data"/>
      <sheetName val="Int.-Bank1"/>
      <sheetName val="Main"/>
      <sheetName val="Int.-Bank2"/>
      <sheetName val="Int.-Bank3"/>
      <sheetName val="คำนวณเงินผ่อน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9525">
          <a:solidFill>
            <a:srgbClr val="000000"/>
          </a:solidFill>
          <a:round/>
          <a:headEnd/>
          <a:tailEnd type="triangl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1" Type="http://schemas.openxmlformats.org/officeDocument/2006/relationships/printerSettings" Target="../printerSettings/printerSettings1.bin" /><Relationship Id="rId6" Type="http://schemas.openxmlformats.org/officeDocument/2006/relationships/comments" Target="../comments1.xml" /><Relationship Id="rId5" Type="http://schemas.openxmlformats.org/officeDocument/2006/relationships/ctrlProp" Target="../ctrlProps/ctrlProp1.xml" /><Relationship Id="rId4" Type="http://schemas.openxmlformats.org/officeDocument/2006/relationships/vmlDrawing" Target="../drawings/vmlDrawing1.v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 /><Relationship Id="rId1" Type="http://schemas.openxmlformats.org/officeDocument/2006/relationships/printerSettings" Target="../printerSettings/printerSettings3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 /><Relationship Id="rId7" Type="http://schemas.openxmlformats.org/officeDocument/2006/relationships/comments" Target="../comments2.xml" /><Relationship Id="rId2" Type="http://schemas.openxmlformats.org/officeDocument/2006/relationships/printerSettings" Target="../printerSettings/printerSettings6.bin" /><Relationship Id="rId1" Type="http://schemas.openxmlformats.org/officeDocument/2006/relationships/printerSettings" Target="../printerSettings/printerSettings5.bin" /><Relationship Id="rId6" Type="http://schemas.openxmlformats.org/officeDocument/2006/relationships/ctrlProp" Target="../ctrlProps/ctrlProp2.xml" /><Relationship Id="rId5" Type="http://schemas.openxmlformats.org/officeDocument/2006/relationships/vmlDrawing" Target="../drawings/vmlDrawing2.vml" /><Relationship Id="rId4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 /><Relationship Id="rId2" Type="http://schemas.openxmlformats.org/officeDocument/2006/relationships/printerSettings" Target="../printerSettings/printerSettings9.bin" /><Relationship Id="rId1" Type="http://schemas.openxmlformats.org/officeDocument/2006/relationships/printerSettings" Target="../printerSettings/printerSettings8.bin" 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 /><Relationship Id="rId13" Type="http://schemas.openxmlformats.org/officeDocument/2006/relationships/ctrlProp" Target="../ctrlProps/ctrlProp8.xml" /><Relationship Id="rId3" Type="http://schemas.openxmlformats.org/officeDocument/2006/relationships/printerSettings" Target="../printerSettings/printerSettings13.bin" /><Relationship Id="rId7" Type="http://schemas.openxmlformats.org/officeDocument/2006/relationships/vmlDrawing" Target="../drawings/vmlDrawing3.vml" /><Relationship Id="rId12" Type="http://schemas.openxmlformats.org/officeDocument/2006/relationships/ctrlProp" Target="../ctrlProps/ctrlProp7.xml" /><Relationship Id="rId2" Type="http://schemas.openxmlformats.org/officeDocument/2006/relationships/printerSettings" Target="../printerSettings/printerSettings12.bin" /><Relationship Id="rId1" Type="http://schemas.openxmlformats.org/officeDocument/2006/relationships/printerSettings" Target="../printerSettings/printerSettings11.bin" /><Relationship Id="rId6" Type="http://schemas.openxmlformats.org/officeDocument/2006/relationships/drawing" Target="../drawings/drawing3.xml" /><Relationship Id="rId11" Type="http://schemas.openxmlformats.org/officeDocument/2006/relationships/ctrlProp" Target="../ctrlProps/ctrlProp6.xml" /><Relationship Id="rId5" Type="http://schemas.openxmlformats.org/officeDocument/2006/relationships/printerSettings" Target="../printerSettings/printerSettings15.bin" /><Relationship Id="rId10" Type="http://schemas.openxmlformats.org/officeDocument/2006/relationships/ctrlProp" Target="../ctrlProps/ctrlProp5.xml" /><Relationship Id="rId4" Type="http://schemas.openxmlformats.org/officeDocument/2006/relationships/printerSettings" Target="../printerSettings/printerSettings14.bin" /><Relationship Id="rId9" Type="http://schemas.openxmlformats.org/officeDocument/2006/relationships/ctrlProp" Target="../ctrlProps/ctrlProp4.xml" 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 /><Relationship Id="rId3" Type="http://schemas.openxmlformats.org/officeDocument/2006/relationships/printerSettings" Target="../printerSettings/printerSettings18.bin" /><Relationship Id="rId7" Type="http://schemas.openxmlformats.org/officeDocument/2006/relationships/ctrlProp" Target="../ctrlProps/ctrlProp9.xml" /><Relationship Id="rId2" Type="http://schemas.openxmlformats.org/officeDocument/2006/relationships/printerSettings" Target="../printerSettings/printerSettings17.bin" /><Relationship Id="rId1" Type="http://schemas.openxmlformats.org/officeDocument/2006/relationships/printerSettings" Target="../printerSettings/printerSettings16.bin" /><Relationship Id="rId6" Type="http://schemas.openxmlformats.org/officeDocument/2006/relationships/vmlDrawing" Target="../drawings/vmlDrawing4.vml" /><Relationship Id="rId5" Type="http://schemas.openxmlformats.org/officeDocument/2006/relationships/drawing" Target="../drawings/drawing4.xml" /><Relationship Id="rId4" Type="http://schemas.openxmlformats.org/officeDocument/2006/relationships/printerSettings" Target="../printerSettings/printerSettings19.bin" /><Relationship Id="rId9" Type="http://schemas.openxmlformats.org/officeDocument/2006/relationships/ctrlProp" Target="../ctrlProps/ctrlProp11.xml" 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 /><Relationship Id="rId13" Type="http://schemas.openxmlformats.org/officeDocument/2006/relationships/ctrlProp" Target="../ctrlProps/ctrlProp18.xml" /><Relationship Id="rId3" Type="http://schemas.openxmlformats.org/officeDocument/2006/relationships/printerSettings" Target="../printerSettings/printerSettings22.bin" /><Relationship Id="rId7" Type="http://schemas.openxmlformats.org/officeDocument/2006/relationships/ctrlProp" Target="../ctrlProps/ctrlProp12.xml" /><Relationship Id="rId12" Type="http://schemas.openxmlformats.org/officeDocument/2006/relationships/ctrlProp" Target="../ctrlProps/ctrlProp17.xml" /><Relationship Id="rId2" Type="http://schemas.openxmlformats.org/officeDocument/2006/relationships/printerSettings" Target="../printerSettings/printerSettings21.bin" /><Relationship Id="rId1" Type="http://schemas.openxmlformats.org/officeDocument/2006/relationships/printerSettings" Target="../printerSettings/printerSettings20.bin" /><Relationship Id="rId6" Type="http://schemas.openxmlformats.org/officeDocument/2006/relationships/vmlDrawing" Target="../drawings/vmlDrawing5.vml" /><Relationship Id="rId11" Type="http://schemas.openxmlformats.org/officeDocument/2006/relationships/ctrlProp" Target="../ctrlProps/ctrlProp16.xml" /><Relationship Id="rId5" Type="http://schemas.openxmlformats.org/officeDocument/2006/relationships/drawing" Target="../drawings/drawing5.xml" /><Relationship Id="rId10" Type="http://schemas.openxmlformats.org/officeDocument/2006/relationships/ctrlProp" Target="../ctrlProps/ctrlProp15.xml" /><Relationship Id="rId4" Type="http://schemas.openxmlformats.org/officeDocument/2006/relationships/printerSettings" Target="../printerSettings/printerSettings23.bin" /><Relationship Id="rId9" Type="http://schemas.openxmlformats.org/officeDocument/2006/relationships/ctrlProp" Target="../ctrlProps/ctrlProp14.xml" 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 /><Relationship Id="rId3" Type="http://schemas.openxmlformats.org/officeDocument/2006/relationships/printerSettings" Target="../printerSettings/printerSettings26.bin" /><Relationship Id="rId7" Type="http://schemas.openxmlformats.org/officeDocument/2006/relationships/ctrlProp" Target="../ctrlProps/ctrlProp19.xml" /><Relationship Id="rId2" Type="http://schemas.openxmlformats.org/officeDocument/2006/relationships/printerSettings" Target="../printerSettings/printerSettings25.bin" /><Relationship Id="rId1" Type="http://schemas.openxmlformats.org/officeDocument/2006/relationships/printerSettings" Target="../printerSettings/printerSettings24.bin" /><Relationship Id="rId6" Type="http://schemas.openxmlformats.org/officeDocument/2006/relationships/vmlDrawing" Target="../drawings/vmlDrawing6.vml" /><Relationship Id="rId5" Type="http://schemas.openxmlformats.org/officeDocument/2006/relationships/drawing" Target="../drawings/drawing6.xml" /><Relationship Id="rId10" Type="http://schemas.openxmlformats.org/officeDocument/2006/relationships/comments" Target="../comments3.xml" /><Relationship Id="rId4" Type="http://schemas.openxmlformats.org/officeDocument/2006/relationships/printerSettings" Target="../printerSettings/printerSettings27.bin" /><Relationship Id="rId9" Type="http://schemas.openxmlformats.org/officeDocument/2006/relationships/ctrlProp" Target="../ctrlProps/ctrlProp21.xml" 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 /><Relationship Id="rId3" Type="http://schemas.openxmlformats.org/officeDocument/2006/relationships/printerSettings" Target="../printerSettings/printerSettings30.bin" /><Relationship Id="rId7" Type="http://schemas.openxmlformats.org/officeDocument/2006/relationships/ctrlProp" Target="../ctrlProps/ctrlProp22.xml" /><Relationship Id="rId2" Type="http://schemas.openxmlformats.org/officeDocument/2006/relationships/printerSettings" Target="../printerSettings/printerSettings29.bin" /><Relationship Id="rId1" Type="http://schemas.openxmlformats.org/officeDocument/2006/relationships/printerSettings" Target="../printerSettings/printerSettings28.bin" /><Relationship Id="rId6" Type="http://schemas.openxmlformats.org/officeDocument/2006/relationships/vmlDrawing" Target="../drawings/vmlDrawing7.vml" /><Relationship Id="rId5" Type="http://schemas.openxmlformats.org/officeDocument/2006/relationships/drawing" Target="../drawings/drawing7.xml" /><Relationship Id="rId4" Type="http://schemas.openxmlformats.org/officeDocument/2006/relationships/printerSettings" Target="../printerSettings/printerSettings31.bin" /><Relationship Id="rId9" Type="http://schemas.openxmlformats.org/officeDocument/2006/relationships/comments" Target="../comments4.xml" 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 /><Relationship Id="rId13" Type="http://schemas.openxmlformats.org/officeDocument/2006/relationships/comments" Target="../comments5.xml" /><Relationship Id="rId3" Type="http://schemas.openxmlformats.org/officeDocument/2006/relationships/printerSettings" Target="../printerSettings/printerSettings34.bin" /><Relationship Id="rId7" Type="http://schemas.openxmlformats.org/officeDocument/2006/relationships/ctrlProp" Target="../ctrlProps/ctrlProp24.xml" /><Relationship Id="rId12" Type="http://schemas.openxmlformats.org/officeDocument/2006/relationships/ctrlProp" Target="../ctrlProps/ctrlProp29.xml" /><Relationship Id="rId2" Type="http://schemas.openxmlformats.org/officeDocument/2006/relationships/printerSettings" Target="../printerSettings/printerSettings33.bin" /><Relationship Id="rId1" Type="http://schemas.openxmlformats.org/officeDocument/2006/relationships/printerSettings" Target="../printerSettings/printerSettings32.bin" /><Relationship Id="rId6" Type="http://schemas.openxmlformats.org/officeDocument/2006/relationships/vmlDrawing" Target="../drawings/vmlDrawing8.vml" /><Relationship Id="rId11" Type="http://schemas.openxmlformats.org/officeDocument/2006/relationships/ctrlProp" Target="../ctrlProps/ctrlProp28.xml" /><Relationship Id="rId5" Type="http://schemas.openxmlformats.org/officeDocument/2006/relationships/drawing" Target="../drawings/drawing8.xml" /><Relationship Id="rId10" Type="http://schemas.openxmlformats.org/officeDocument/2006/relationships/ctrlProp" Target="../ctrlProps/ctrlProp27.xml" /><Relationship Id="rId4" Type="http://schemas.openxmlformats.org/officeDocument/2006/relationships/printerSettings" Target="../printerSettings/printerSettings35.bin" /><Relationship Id="rId9" Type="http://schemas.openxmlformats.org/officeDocument/2006/relationships/ctrlProp" Target="../ctrlProps/ctrlProp26.xml" 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 /><Relationship Id="rId3" Type="http://schemas.openxmlformats.org/officeDocument/2006/relationships/printerSettings" Target="../printerSettings/printerSettings38.bin" /><Relationship Id="rId7" Type="http://schemas.openxmlformats.org/officeDocument/2006/relationships/ctrlProp" Target="../ctrlProps/ctrlProp30.xml" /><Relationship Id="rId2" Type="http://schemas.openxmlformats.org/officeDocument/2006/relationships/printerSettings" Target="../printerSettings/printerSettings37.bin" /><Relationship Id="rId1" Type="http://schemas.openxmlformats.org/officeDocument/2006/relationships/printerSettings" Target="../printerSettings/printerSettings36.bin" /><Relationship Id="rId6" Type="http://schemas.openxmlformats.org/officeDocument/2006/relationships/vmlDrawing" Target="../drawings/vmlDrawing9.vml" /><Relationship Id="rId5" Type="http://schemas.openxmlformats.org/officeDocument/2006/relationships/drawing" Target="../drawings/drawing9.xml" /><Relationship Id="rId4" Type="http://schemas.openxmlformats.org/officeDocument/2006/relationships/printerSettings" Target="../printerSettings/printerSettings39.bin" /><Relationship Id="rId9" Type="http://schemas.openxmlformats.org/officeDocument/2006/relationships/comments" Target="../comments6.xml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 /><Relationship Id="rId1" Type="http://schemas.openxmlformats.org/officeDocument/2006/relationships/printerSettings" Target="../printerSettings/printerSettings40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 /><Relationship Id="rId1" Type="http://schemas.openxmlformats.org/officeDocument/2006/relationships/printerSettings" Target="../printerSettings/printerSettings42.bin" 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 /><Relationship Id="rId3" Type="http://schemas.openxmlformats.org/officeDocument/2006/relationships/printerSettings" Target="../printerSettings/printerSettings46.bin" /><Relationship Id="rId7" Type="http://schemas.openxmlformats.org/officeDocument/2006/relationships/ctrlProp" Target="../ctrlProps/ctrlProp32.xml" /><Relationship Id="rId2" Type="http://schemas.openxmlformats.org/officeDocument/2006/relationships/printerSettings" Target="../printerSettings/printerSettings45.bin" /><Relationship Id="rId1" Type="http://schemas.openxmlformats.org/officeDocument/2006/relationships/printerSettings" Target="../printerSettings/printerSettings44.bin" /><Relationship Id="rId6" Type="http://schemas.openxmlformats.org/officeDocument/2006/relationships/vmlDrawing" Target="../drawings/vmlDrawing10.vml" /><Relationship Id="rId5" Type="http://schemas.openxmlformats.org/officeDocument/2006/relationships/drawing" Target="../drawings/drawing10.xml" /><Relationship Id="rId10" Type="http://schemas.openxmlformats.org/officeDocument/2006/relationships/comments" Target="../comments7.xml" /><Relationship Id="rId4" Type="http://schemas.openxmlformats.org/officeDocument/2006/relationships/printerSettings" Target="../printerSettings/printerSettings47.bin" /><Relationship Id="rId9" Type="http://schemas.openxmlformats.org/officeDocument/2006/relationships/ctrlProp" Target="../ctrlProps/ctrlProp34.xml" 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mments" Target="../comments8.xml" /><Relationship Id="rId3" Type="http://schemas.openxmlformats.org/officeDocument/2006/relationships/drawing" Target="../drawings/drawing11.xml" /><Relationship Id="rId7" Type="http://schemas.openxmlformats.org/officeDocument/2006/relationships/ctrlProp" Target="../ctrlProps/ctrlProp37.xml" /><Relationship Id="rId2" Type="http://schemas.openxmlformats.org/officeDocument/2006/relationships/printerSettings" Target="../printerSettings/printerSettings49.bin" /><Relationship Id="rId1" Type="http://schemas.openxmlformats.org/officeDocument/2006/relationships/printerSettings" Target="../printerSettings/printerSettings48.bin" /><Relationship Id="rId6" Type="http://schemas.openxmlformats.org/officeDocument/2006/relationships/ctrlProp" Target="../ctrlProps/ctrlProp36.xml" /><Relationship Id="rId5" Type="http://schemas.openxmlformats.org/officeDocument/2006/relationships/ctrlProp" Target="../ctrlProps/ctrlProp35.xml" /><Relationship Id="rId4" Type="http://schemas.openxmlformats.org/officeDocument/2006/relationships/vmlDrawing" Target="../drawings/vmlDrawing1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1:U40"/>
  <sheetViews>
    <sheetView topLeftCell="V1" workbookViewId="0">
      <selection activeCell="AH5" sqref="AH5"/>
    </sheetView>
  </sheetViews>
  <sheetFormatPr defaultColWidth="8.8984375" defaultRowHeight="12.75" x14ac:dyDescent="0.15"/>
  <cols>
    <col min="1" max="1" width="14.42578125" style="764" hidden="1" customWidth="1"/>
    <col min="2" max="2" width="32.36328125" style="764" hidden="1" customWidth="1"/>
    <col min="3" max="6" width="8.8984375" style="764" hidden="1" customWidth="1"/>
    <col min="7" max="7" width="9.70703125" style="764" hidden="1" customWidth="1"/>
    <col min="8" max="8" width="8.8984375" style="764" hidden="1" customWidth="1"/>
    <col min="9" max="9" width="30.87890625" style="764" hidden="1" customWidth="1"/>
    <col min="10" max="11" width="12.26953125" style="764" hidden="1" customWidth="1"/>
    <col min="12" max="21" width="8.8984375" style="764" hidden="1" customWidth="1"/>
    <col min="22" max="16384" width="8.8984375" style="764"/>
  </cols>
  <sheetData>
    <row r="1" spans="1:21" ht="26.45" customHeight="1" x14ac:dyDescent="0.15">
      <c r="A1" s="762" t="s">
        <v>176</v>
      </c>
      <c r="B1" s="763" t="str">
        <f>VLOOKUP($D$1,$H$3:$I$39,2,0)</f>
        <v>สุพรีม ไลฟ์  โพรเทคเตอร์ A90/20</v>
      </c>
      <c r="C1" s="764">
        <v>1</v>
      </c>
      <c r="D1" s="765">
        <v>29</v>
      </c>
      <c r="E1" s="765" t="str">
        <f>VLOOKUP($D$1,$H$3:$J$39,3,0)</f>
        <v>20SLPA</v>
      </c>
      <c r="F1" s="766">
        <f>VLOOKUP($D$1,$H$3:$K$39,4,0)</f>
        <v>0.75</v>
      </c>
      <c r="H1" s="893" t="s">
        <v>177</v>
      </c>
      <c r="I1" s="893" t="s">
        <v>176</v>
      </c>
      <c r="J1" s="894" t="s">
        <v>362</v>
      </c>
      <c r="K1" s="894" t="s">
        <v>361</v>
      </c>
      <c r="L1" s="893" t="s">
        <v>178</v>
      </c>
      <c r="M1" s="893"/>
      <c r="N1" s="893"/>
      <c r="O1" s="893"/>
      <c r="P1" s="893"/>
      <c r="Q1" s="893"/>
      <c r="R1" s="893"/>
      <c r="S1" s="893"/>
      <c r="T1" s="893"/>
      <c r="U1" s="893"/>
    </row>
    <row r="2" spans="1:21" x14ac:dyDescent="0.15">
      <c r="A2" s="767">
        <v>1</v>
      </c>
      <c r="B2" s="768">
        <f>VLOOKUP($B$1,$I$3:$U$39,C2,0)</f>
        <v>0.4</v>
      </c>
      <c r="C2" s="764">
        <v>4</v>
      </c>
      <c r="H2" s="893"/>
      <c r="I2" s="893"/>
      <c r="J2" s="895"/>
      <c r="K2" s="895"/>
      <c r="L2" s="769">
        <v>1</v>
      </c>
      <c r="M2" s="769">
        <v>2</v>
      </c>
      <c r="N2" s="769">
        <v>3</v>
      </c>
      <c r="O2" s="769">
        <v>4</v>
      </c>
      <c r="P2" s="769">
        <v>5</v>
      </c>
      <c r="Q2" s="769">
        <v>6</v>
      </c>
      <c r="R2" s="769">
        <v>7</v>
      </c>
      <c r="S2" s="769">
        <v>8</v>
      </c>
      <c r="T2" s="769">
        <v>9</v>
      </c>
      <c r="U2" s="769">
        <v>10</v>
      </c>
    </row>
    <row r="3" spans="1:21" x14ac:dyDescent="0.15">
      <c r="A3" s="767">
        <v>2</v>
      </c>
      <c r="B3" s="768">
        <f t="shared" ref="B3:B10" si="0">VLOOKUP($B$1,$I$3:$U$39,C3,0)</f>
        <v>0.16</v>
      </c>
      <c r="C3" s="764">
        <v>5</v>
      </c>
      <c r="H3" s="767">
        <v>37</v>
      </c>
      <c r="I3" s="770" t="s">
        <v>245</v>
      </c>
      <c r="J3" s="770" t="s">
        <v>363</v>
      </c>
      <c r="K3" s="771">
        <v>1</v>
      </c>
      <c r="L3" s="768">
        <v>0.28000000000000003</v>
      </c>
      <c r="M3" s="768">
        <v>0.16</v>
      </c>
      <c r="N3" s="768">
        <v>0.1</v>
      </c>
      <c r="O3" s="768">
        <v>0.05</v>
      </c>
      <c r="P3" s="768">
        <v>0.05</v>
      </c>
      <c r="Q3" s="768">
        <v>0.05</v>
      </c>
      <c r="R3" s="768">
        <v>0.05</v>
      </c>
      <c r="S3" s="768">
        <v>0.05</v>
      </c>
      <c r="T3" s="768">
        <v>0.05</v>
      </c>
      <c r="U3" s="768">
        <v>0.05</v>
      </c>
    </row>
    <row r="4" spans="1:21" x14ac:dyDescent="0.15">
      <c r="A4" s="767">
        <v>3</v>
      </c>
      <c r="B4" s="768">
        <f t="shared" si="0"/>
        <v>0.1</v>
      </c>
      <c r="C4" s="764">
        <v>6</v>
      </c>
      <c r="H4" s="767">
        <v>36</v>
      </c>
      <c r="I4" s="770" t="s">
        <v>246</v>
      </c>
      <c r="J4" s="770" t="s">
        <v>364</v>
      </c>
      <c r="K4" s="771">
        <v>1</v>
      </c>
      <c r="L4" s="768">
        <v>0.3</v>
      </c>
      <c r="M4" s="768">
        <v>0.25</v>
      </c>
      <c r="N4" s="768">
        <v>0.15</v>
      </c>
      <c r="O4" s="768">
        <v>0.05</v>
      </c>
      <c r="P4" s="768">
        <v>0.05</v>
      </c>
      <c r="Q4" s="768">
        <v>0.05</v>
      </c>
      <c r="R4" s="768">
        <v>0.05</v>
      </c>
      <c r="S4" s="768">
        <v>0.05</v>
      </c>
      <c r="T4" s="768">
        <v>0.05</v>
      </c>
      <c r="U4" s="768">
        <v>0.05</v>
      </c>
    </row>
    <row r="5" spans="1:21" x14ac:dyDescent="0.15">
      <c r="A5" s="767">
        <v>4</v>
      </c>
      <c r="B5" s="768">
        <f t="shared" si="0"/>
        <v>0.05</v>
      </c>
      <c r="C5" s="764">
        <v>7</v>
      </c>
      <c r="H5" s="767">
        <v>35</v>
      </c>
      <c r="I5" s="770" t="s">
        <v>247</v>
      </c>
      <c r="J5" s="770" t="s">
        <v>365</v>
      </c>
      <c r="K5" s="771">
        <v>1</v>
      </c>
      <c r="L5" s="768">
        <v>0.03</v>
      </c>
      <c r="M5" s="768"/>
      <c r="N5" s="768"/>
      <c r="O5" s="768"/>
      <c r="P5" s="768"/>
      <c r="Q5" s="768"/>
      <c r="R5" s="768"/>
      <c r="S5" s="768"/>
      <c r="T5" s="768"/>
      <c r="U5" s="768"/>
    </row>
    <row r="6" spans="1:21" x14ac:dyDescent="0.15">
      <c r="A6" s="767">
        <v>5</v>
      </c>
      <c r="B6" s="768">
        <f t="shared" si="0"/>
        <v>0.05</v>
      </c>
      <c r="C6" s="764">
        <v>8</v>
      </c>
      <c r="H6" s="767">
        <v>34</v>
      </c>
      <c r="I6" s="770" t="s">
        <v>248</v>
      </c>
      <c r="J6" s="770" t="s">
        <v>366</v>
      </c>
      <c r="K6" s="771">
        <v>1</v>
      </c>
      <c r="L6" s="768">
        <v>0.1</v>
      </c>
      <c r="M6" s="768">
        <v>0.04</v>
      </c>
      <c r="N6" s="768">
        <v>2.5000000000000001E-2</v>
      </c>
      <c r="O6" s="768"/>
      <c r="P6" s="768"/>
      <c r="Q6" s="768"/>
      <c r="R6" s="768"/>
      <c r="S6" s="768"/>
      <c r="T6" s="768"/>
      <c r="U6" s="768"/>
    </row>
    <row r="7" spans="1:21" x14ac:dyDescent="0.15">
      <c r="A7" s="767">
        <v>6</v>
      </c>
      <c r="B7" s="768">
        <f t="shared" si="0"/>
        <v>0.05</v>
      </c>
      <c r="C7" s="764">
        <v>9</v>
      </c>
      <c r="H7" s="767">
        <v>33</v>
      </c>
      <c r="I7" s="770" t="s">
        <v>249</v>
      </c>
      <c r="J7" s="770" t="s">
        <v>367</v>
      </c>
      <c r="K7" s="771">
        <v>1</v>
      </c>
      <c r="L7" s="768">
        <v>0.2</v>
      </c>
      <c r="M7" s="768">
        <v>0.08</v>
      </c>
      <c r="N7" s="768">
        <v>0.05</v>
      </c>
      <c r="O7" s="768">
        <v>2.5000000000000001E-2</v>
      </c>
      <c r="P7" s="768">
        <v>2.5000000000000001E-2</v>
      </c>
      <c r="Q7" s="768">
        <v>2.5000000000000001E-2</v>
      </c>
      <c r="R7" s="768">
        <v>2.5000000000000001E-2</v>
      </c>
      <c r="S7" s="768">
        <v>2.5000000000000001E-2</v>
      </c>
      <c r="T7" s="768">
        <v>2.5000000000000001E-2</v>
      </c>
      <c r="U7" s="768">
        <v>2.5000000000000001E-2</v>
      </c>
    </row>
    <row r="8" spans="1:21" x14ac:dyDescent="0.15">
      <c r="A8" s="767">
        <v>7</v>
      </c>
      <c r="B8" s="768">
        <f t="shared" si="0"/>
        <v>0.05</v>
      </c>
      <c r="C8" s="764">
        <v>10</v>
      </c>
      <c r="H8" s="767">
        <v>32</v>
      </c>
      <c r="I8" s="770" t="s">
        <v>250</v>
      </c>
      <c r="J8" s="770" t="s">
        <v>368</v>
      </c>
      <c r="K8" s="771">
        <v>1</v>
      </c>
      <c r="L8" s="768">
        <v>0.25</v>
      </c>
      <c r="M8" s="768">
        <v>0.1</v>
      </c>
      <c r="N8" s="768">
        <v>6.25E-2</v>
      </c>
      <c r="O8" s="768">
        <v>3.5000000000000003E-2</v>
      </c>
      <c r="P8" s="768">
        <v>3.5000000000000003E-2</v>
      </c>
      <c r="Q8" s="768">
        <v>3.5000000000000003E-2</v>
      </c>
      <c r="R8" s="768">
        <v>3.5000000000000003E-2</v>
      </c>
      <c r="S8" s="768">
        <v>3.5000000000000003E-2</v>
      </c>
      <c r="T8" s="768">
        <v>3.5000000000000003E-2</v>
      </c>
      <c r="U8" s="768">
        <v>3.5000000000000003E-2</v>
      </c>
    </row>
    <row r="9" spans="1:21" x14ac:dyDescent="0.15">
      <c r="A9" s="767">
        <v>8</v>
      </c>
      <c r="B9" s="768">
        <f t="shared" si="0"/>
        <v>0.05</v>
      </c>
      <c r="C9" s="764">
        <v>11</v>
      </c>
      <c r="H9" s="767">
        <v>31</v>
      </c>
      <c r="I9" s="770" t="s">
        <v>251</v>
      </c>
      <c r="J9" s="770" t="s">
        <v>369</v>
      </c>
      <c r="K9" s="771">
        <v>0.75</v>
      </c>
      <c r="L9" s="768">
        <v>0.38</v>
      </c>
      <c r="M9" s="768">
        <v>0.155</v>
      </c>
      <c r="N9" s="768">
        <v>9.5000000000000001E-2</v>
      </c>
      <c r="O9" s="768">
        <v>3.5000000000000003E-2</v>
      </c>
      <c r="P9" s="768">
        <v>3.5000000000000003E-2</v>
      </c>
      <c r="Q9" s="768">
        <v>3.5000000000000003E-2</v>
      </c>
      <c r="R9" s="768">
        <v>3.5000000000000003E-2</v>
      </c>
      <c r="S9" s="768">
        <v>3.5000000000000003E-2</v>
      </c>
      <c r="T9" s="768">
        <v>3.5000000000000003E-2</v>
      </c>
      <c r="U9" s="768">
        <v>3.5000000000000003E-2</v>
      </c>
    </row>
    <row r="10" spans="1:21" x14ac:dyDescent="0.15">
      <c r="A10" s="767">
        <v>9</v>
      </c>
      <c r="B10" s="768">
        <f t="shared" si="0"/>
        <v>0.05</v>
      </c>
      <c r="C10" s="764">
        <v>12</v>
      </c>
      <c r="H10" s="767">
        <v>30</v>
      </c>
      <c r="I10" s="770" t="s">
        <v>252</v>
      </c>
      <c r="J10" s="770" t="s">
        <v>370</v>
      </c>
      <c r="K10" s="771">
        <v>1</v>
      </c>
      <c r="L10" s="768">
        <v>0.24</v>
      </c>
      <c r="M10" s="768">
        <v>0.1</v>
      </c>
      <c r="N10" s="768">
        <v>0.06</v>
      </c>
      <c r="O10" s="768"/>
      <c r="P10" s="768"/>
      <c r="Q10" s="768"/>
      <c r="R10" s="768"/>
      <c r="S10" s="768"/>
      <c r="T10" s="768"/>
      <c r="U10" s="768"/>
    </row>
    <row r="11" spans="1:21" x14ac:dyDescent="0.15">
      <c r="A11" s="767">
        <v>10</v>
      </c>
      <c r="B11" s="768">
        <f>VLOOKUP($B$1,$I$3:$U$39,C11,0)</f>
        <v>0.05</v>
      </c>
      <c r="C11" s="764">
        <v>13</v>
      </c>
      <c r="H11" s="767">
        <v>29</v>
      </c>
      <c r="I11" s="770" t="s">
        <v>253</v>
      </c>
      <c r="J11" s="770" t="s">
        <v>371</v>
      </c>
      <c r="K11" s="771">
        <v>0.75</v>
      </c>
      <c r="L11" s="768">
        <v>0.4</v>
      </c>
      <c r="M11" s="768">
        <v>0.16</v>
      </c>
      <c r="N11" s="768">
        <v>0.1</v>
      </c>
      <c r="O11" s="768">
        <v>0.05</v>
      </c>
      <c r="P11" s="768">
        <v>0.05</v>
      </c>
      <c r="Q11" s="768">
        <v>0.05</v>
      </c>
      <c r="R11" s="768">
        <v>0.05</v>
      </c>
      <c r="S11" s="768">
        <v>0.05</v>
      </c>
      <c r="T11" s="768">
        <v>0.05</v>
      </c>
      <c r="U11" s="768">
        <v>0.05</v>
      </c>
    </row>
    <row r="12" spans="1:21" x14ac:dyDescent="0.15">
      <c r="H12" s="767">
        <v>28</v>
      </c>
      <c r="I12" s="770" t="s">
        <v>254</v>
      </c>
      <c r="J12" s="770" t="s">
        <v>372</v>
      </c>
      <c r="K12" s="771">
        <v>1</v>
      </c>
      <c r="L12" s="768">
        <v>0.36</v>
      </c>
      <c r="M12" s="768">
        <v>0.15</v>
      </c>
      <c r="N12" s="768">
        <v>0.09</v>
      </c>
      <c r="O12" s="768">
        <v>0.01</v>
      </c>
      <c r="P12" s="768">
        <v>0.01</v>
      </c>
      <c r="Q12" s="768">
        <v>0.01</v>
      </c>
      <c r="R12" s="768">
        <v>0.01</v>
      </c>
      <c r="S12" s="768">
        <v>0.01</v>
      </c>
      <c r="T12" s="768">
        <v>0.01</v>
      </c>
      <c r="U12" s="768">
        <v>0.01</v>
      </c>
    </row>
    <row r="13" spans="1:21" x14ac:dyDescent="0.15">
      <c r="H13" s="767">
        <v>27</v>
      </c>
      <c r="I13" s="770" t="s">
        <v>255</v>
      </c>
      <c r="J13" s="770" t="s">
        <v>373</v>
      </c>
      <c r="K13" s="771">
        <v>1</v>
      </c>
      <c r="L13" s="768">
        <v>0.12</v>
      </c>
      <c r="M13" s="768">
        <v>0.05</v>
      </c>
      <c r="N13" s="768">
        <v>0.03</v>
      </c>
      <c r="O13" s="768"/>
      <c r="P13" s="768"/>
      <c r="Q13" s="768"/>
      <c r="R13" s="768"/>
      <c r="S13" s="768"/>
      <c r="T13" s="768"/>
      <c r="U13" s="768"/>
    </row>
    <row r="14" spans="1:21" x14ac:dyDescent="0.15">
      <c r="H14" s="767">
        <v>26</v>
      </c>
      <c r="I14" s="770" t="s">
        <v>256</v>
      </c>
      <c r="J14" s="770" t="s">
        <v>374</v>
      </c>
      <c r="K14" s="771">
        <v>0.75</v>
      </c>
      <c r="L14" s="768">
        <v>0.3</v>
      </c>
      <c r="M14" s="768">
        <v>0.15</v>
      </c>
      <c r="N14" s="768">
        <v>0.1</v>
      </c>
      <c r="O14" s="768">
        <v>0.05</v>
      </c>
      <c r="P14" s="768"/>
      <c r="Q14" s="768"/>
      <c r="R14" s="768"/>
      <c r="S14" s="768"/>
      <c r="T14" s="768"/>
      <c r="U14" s="768"/>
    </row>
    <row r="15" spans="1:21" x14ac:dyDescent="0.15">
      <c r="H15" s="767">
        <v>25</v>
      </c>
      <c r="I15" s="770" t="s">
        <v>257</v>
      </c>
      <c r="J15" s="770" t="s">
        <v>375</v>
      </c>
      <c r="K15" s="771">
        <v>1</v>
      </c>
      <c r="L15" s="768">
        <v>0.2</v>
      </c>
      <c r="M15" s="768">
        <v>0.1</v>
      </c>
      <c r="N15" s="768">
        <v>0.05</v>
      </c>
      <c r="O15" s="768">
        <v>2.5000000000000001E-2</v>
      </c>
      <c r="P15" s="768"/>
      <c r="Q15" s="768"/>
      <c r="R15" s="768"/>
      <c r="S15" s="768"/>
      <c r="T15" s="768"/>
      <c r="U15" s="768"/>
    </row>
    <row r="16" spans="1:21" x14ac:dyDescent="0.15">
      <c r="H16" s="767">
        <v>24</v>
      </c>
      <c r="I16" s="770" t="s">
        <v>258</v>
      </c>
      <c r="J16" s="770" t="s">
        <v>376</v>
      </c>
      <c r="K16" s="771">
        <v>1</v>
      </c>
      <c r="L16" s="768">
        <v>0.2</v>
      </c>
      <c r="M16" s="768">
        <v>0.1</v>
      </c>
      <c r="N16" s="768">
        <v>7.4999999999999997E-2</v>
      </c>
      <c r="O16" s="768">
        <v>0.05</v>
      </c>
      <c r="P16" s="768">
        <v>2.5000000000000001E-2</v>
      </c>
      <c r="Q16" s="768"/>
      <c r="R16" s="768"/>
      <c r="S16" s="768"/>
      <c r="T16" s="768"/>
      <c r="U16" s="768"/>
    </row>
    <row r="17" spans="8:21" x14ac:dyDescent="0.15">
      <c r="H17" s="767">
        <v>23</v>
      </c>
      <c r="I17" s="770" t="s">
        <v>259</v>
      </c>
      <c r="J17" s="770" t="s">
        <v>377</v>
      </c>
      <c r="K17" s="771">
        <v>1</v>
      </c>
      <c r="L17" s="768">
        <v>0.2</v>
      </c>
      <c r="M17" s="768">
        <v>0.08</v>
      </c>
      <c r="N17" s="768">
        <v>0.05</v>
      </c>
      <c r="O17" s="768"/>
      <c r="P17" s="768"/>
      <c r="Q17" s="768"/>
      <c r="R17" s="768"/>
      <c r="S17" s="768"/>
      <c r="T17" s="768"/>
      <c r="U17" s="768"/>
    </row>
    <row r="18" spans="8:21" x14ac:dyDescent="0.15">
      <c r="H18" s="767">
        <v>22</v>
      </c>
      <c r="I18" s="770" t="s">
        <v>260</v>
      </c>
      <c r="J18" s="770" t="s">
        <v>378</v>
      </c>
      <c r="K18" s="771">
        <v>1</v>
      </c>
      <c r="L18" s="768">
        <v>0.1</v>
      </c>
      <c r="M18" s="768">
        <v>0.04</v>
      </c>
      <c r="N18" s="768">
        <v>2.5000000000000001E-2</v>
      </c>
      <c r="O18" s="768"/>
      <c r="P18" s="768"/>
      <c r="Q18" s="768"/>
      <c r="R18" s="768"/>
      <c r="S18" s="768"/>
      <c r="T18" s="768"/>
      <c r="U18" s="768"/>
    </row>
    <row r="19" spans="8:21" x14ac:dyDescent="0.15">
      <c r="H19" s="767">
        <v>21</v>
      </c>
      <c r="I19" s="770" t="s">
        <v>261</v>
      </c>
      <c r="J19" s="770" t="s">
        <v>379</v>
      </c>
      <c r="K19" s="771">
        <v>1</v>
      </c>
      <c r="L19" s="768">
        <v>0.17</v>
      </c>
      <c r="M19" s="768">
        <v>8.7499999999999994E-2</v>
      </c>
      <c r="N19" s="768">
        <v>5.2499999999999998E-2</v>
      </c>
      <c r="O19" s="768">
        <v>3.5000000000000003E-2</v>
      </c>
      <c r="P19" s="768">
        <v>1.7500000000000002E-2</v>
      </c>
      <c r="Q19" s="768"/>
      <c r="R19" s="768"/>
      <c r="S19" s="768"/>
      <c r="T19" s="768"/>
      <c r="U19" s="768"/>
    </row>
    <row r="20" spans="8:21" x14ac:dyDescent="0.15">
      <c r="H20" s="767">
        <v>20</v>
      </c>
      <c r="I20" s="770" t="s">
        <v>262</v>
      </c>
      <c r="J20" s="772" t="s">
        <v>380</v>
      </c>
      <c r="K20" s="771">
        <v>1</v>
      </c>
      <c r="L20" s="773">
        <v>0.06</v>
      </c>
      <c r="M20" s="768">
        <v>2.4E-2</v>
      </c>
      <c r="N20" s="768">
        <v>1.4999999999999999E-2</v>
      </c>
      <c r="O20" s="768"/>
      <c r="P20" s="768"/>
      <c r="Q20" s="768"/>
      <c r="R20" s="768"/>
      <c r="S20" s="768"/>
      <c r="T20" s="768"/>
      <c r="U20" s="768"/>
    </row>
    <row r="21" spans="8:21" x14ac:dyDescent="0.15">
      <c r="H21" s="767">
        <v>19</v>
      </c>
      <c r="I21" s="770" t="s">
        <v>263</v>
      </c>
      <c r="J21" s="772" t="s">
        <v>381</v>
      </c>
      <c r="K21" s="771">
        <v>1</v>
      </c>
      <c r="L21" s="773">
        <v>0.08</v>
      </c>
      <c r="M21" s="768">
        <v>3.2000000000000001E-2</v>
      </c>
      <c r="N21" s="768">
        <v>0.02</v>
      </c>
      <c r="O21" s="768"/>
      <c r="P21" s="768"/>
      <c r="Q21" s="768"/>
      <c r="R21" s="768"/>
      <c r="S21" s="768"/>
      <c r="T21" s="768"/>
      <c r="U21" s="768"/>
    </row>
    <row r="22" spans="8:21" x14ac:dyDescent="0.15">
      <c r="H22" s="767">
        <v>18</v>
      </c>
      <c r="I22" s="770" t="s">
        <v>264</v>
      </c>
      <c r="J22" s="772" t="s">
        <v>382</v>
      </c>
      <c r="K22" s="771">
        <v>1</v>
      </c>
      <c r="L22" s="773">
        <v>0.28000000000000003</v>
      </c>
      <c r="M22" s="768">
        <v>0.12</v>
      </c>
      <c r="N22" s="768">
        <v>7.4999999999999997E-2</v>
      </c>
      <c r="O22" s="768">
        <v>0.02</v>
      </c>
      <c r="P22" s="768">
        <v>0.02</v>
      </c>
      <c r="Q22" s="768">
        <v>0.01</v>
      </c>
      <c r="R22" s="768">
        <v>0.01</v>
      </c>
      <c r="S22" s="768">
        <v>0.01</v>
      </c>
      <c r="T22" s="768">
        <v>0.01</v>
      </c>
      <c r="U22" s="768">
        <v>0.01</v>
      </c>
    </row>
    <row r="23" spans="8:21" x14ac:dyDescent="0.15">
      <c r="H23" s="767">
        <v>17</v>
      </c>
      <c r="I23" s="770" t="s">
        <v>265</v>
      </c>
      <c r="J23" s="772" t="s">
        <v>383</v>
      </c>
      <c r="K23" s="771">
        <v>1</v>
      </c>
      <c r="L23" s="773">
        <v>0.28000000000000003</v>
      </c>
      <c r="M23" s="773">
        <v>0.12</v>
      </c>
      <c r="N23" s="773">
        <v>7.4999999999999997E-2</v>
      </c>
      <c r="O23" s="773">
        <v>0.02</v>
      </c>
      <c r="P23" s="773">
        <v>0.02</v>
      </c>
      <c r="Q23" s="773">
        <v>0.01</v>
      </c>
      <c r="R23" s="773">
        <v>0.01</v>
      </c>
      <c r="S23" s="773">
        <v>0.01</v>
      </c>
      <c r="T23" s="773">
        <v>0.01</v>
      </c>
      <c r="U23" s="773">
        <v>0.01</v>
      </c>
    </row>
    <row r="24" spans="8:21" x14ac:dyDescent="0.15">
      <c r="H24" s="767">
        <v>16</v>
      </c>
      <c r="I24" s="770" t="s">
        <v>266</v>
      </c>
      <c r="J24" s="772" t="s">
        <v>384</v>
      </c>
      <c r="K24" s="771">
        <v>0.5</v>
      </c>
      <c r="L24" s="773">
        <v>0.15</v>
      </c>
      <c r="M24" s="773">
        <v>0.06</v>
      </c>
      <c r="N24" s="773">
        <v>3.7499999999999999E-2</v>
      </c>
      <c r="O24" s="773">
        <v>0.01</v>
      </c>
      <c r="P24" s="773"/>
      <c r="Q24" s="773"/>
      <c r="R24" s="773"/>
      <c r="S24" s="773"/>
      <c r="T24" s="773"/>
      <c r="U24" s="773"/>
    </row>
    <row r="25" spans="8:21" x14ac:dyDescent="0.15">
      <c r="H25" s="767">
        <v>15</v>
      </c>
      <c r="I25" s="770" t="s">
        <v>267</v>
      </c>
      <c r="J25" s="772" t="s">
        <v>385</v>
      </c>
      <c r="K25" s="771">
        <v>1</v>
      </c>
      <c r="L25" s="773">
        <v>0.03</v>
      </c>
      <c r="M25" s="773">
        <v>1.2E-2</v>
      </c>
      <c r="N25" s="773">
        <v>7.4999999999999997E-3</v>
      </c>
      <c r="O25" s="773"/>
      <c r="P25" s="773"/>
      <c r="Q25" s="773"/>
      <c r="R25" s="773"/>
      <c r="S25" s="773"/>
      <c r="T25" s="773"/>
      <c r="U25" s="773"/>
    </row>
    <row r="26" spans="8:21" x14ac:dyDescent="0.15">
      <c r="H26" s="767">
        <v>14</v>
      </c>
      <c r="I26" s="770" t="s">
        <v>268</v>
      </c>
      <c r="J26" s="772" t="s">
        <v>386</v>
      </c>
      <c r="K26" s="771">
        <v>1</v>
      </c>
      <c r="L26" s="773">
        <v>0.2</v>
      </c>
      <c r="M26" s="773">
        <v>0.1</v>
      </c>
      <c r="N26" s="773">
        <v>0.05</v>
      </c>
      <c r="O26" s="773">
        <v>0.05</v>
      </c>
      <c r="P26" s="773">
        <v>0.05</v>
      </c>
      <c r="Q26" s="773">
        <v>2.5000000000000001E-2</v>
      </c>
      <c r="R26" s="773">
        <v>2.5000000000000001E-2</v>
      </c>
      <c r="S26" s="773">
        <v>2.5000000000000001E-2</v>
      </c>
      <c r="T26" s="773">
        <v>2.5000000000000001E-2</v>
      </c>
      <c r="U26" s="773">
        <v>2.5000000000000001E-2</v>
      </c>
    </row>
    <row r="27" spans="8:21" x14ac:dyDescent="0.15">
      <c r="H27" s="767">
        <v>13</v>
      </c>
      <c r="I27" s="770" t="s">
        <v>269</v>
      </c>
      <c r="J27" s="772" t="s">
        <v>387</v>
      </c>
      <c r="K27" s="771">
        <v>1</v>
      </c>
      <c r="L27" s="773">
        <v>0.2</v>
      </c>
      <c r="M27" s="773">
        <v>0.1</v>
      </c>
      <c r="N27" s="773">
        <v>0.05</v>
      </c>
      <c r="O27" s="773">
        <v>0.05</v>
      </c>
      <c r="P27" s="773">
        <v>0.05</v>
      </c>
      <c r="Q27" s="773">
        <v>2.5000000000000001E-2</v>
      </c>
      <c r="R27" s="773">
        <v>2.5000000000000001E-2</v>
      </c>
      <c r="S27" s="773">
        <v>2.5000000000000001E-2</v>
      </c>
      <c r="T27" s="773">
        <v>2.5000000000000001E-2</v>
      </c>
      <c r="U27" s="773">
        <v>2.5000000000000001E-2</v>
      </c>
    </row>
    <row r="28" spans="8:21" x14ac:dyDescent="0.15">
      <c r="H28" s="767">
        <v>12</v>
      </c>
      <c r="I28" s="770" t="s">
        <v>270</v>
      </c>
      <c r="J28" s="772" t="s">
        <v>388</v>
      </c>
      <c r="K28" s="771">
        <v>1</v>
      </c>
      <c r="L28" s="773">
        <v>0.12</v>
      </c>
      <c r="M28" s="773">
        <v>0.1</v>
      </c>
      <c r="N28" s="773">
        <v>0.05</v>
      </c>
      <c r="O28" s="773"/>
      <c r="P28" s="773"/>
      <c r="Q28" s="773"/>
      <c r="R28" s="773"/>
      <c r="S28" s="773"/>
      <c r="T28" s="773"/>
      <c r="U28" s="773"/>
    </row>
    <row r="29" spans="8:21" x14ac:dyDescent="0.15">
      <c r="H29" s="767">
        <v>11</v>
      </c>
      <c r="I29" s="770" t="s">
        <v>271</v>
      </c>
      <c r="J29" s="772" t="s">
        <v>389</v>
      </c>
      <c r="K29" s="771">
        <v>1</v>
      </c>
      <c r="L29" s="773">
        <v>0.2</v>
      </c>
      <c r="M29" s="773">
        <v>0.1</v>
      </c>
      <c r="N29" s="773">
        <v>0.05</v>
      </c>
      <c r="O29" s="773">
        <v>0.05</v>
      </c>
      <c r="P29" s="773">
        <v>0.05</v>
      </c>
      <c r="Q29" s="773">
        <v>0.05</v>
      </c>
      <c r="R29" s="773">
        <v>0.05</v>
      </c>
      <c r="S29" s="773">
        <v>0.05</v>
      </c>
      <c r="T29" s="773">
        <v>0.05</v>
      </c>
      <c r="U29" s="773">
        <v>0.05</v>
      </c>
    </row>
    <row r="30" spans="8:21" x14ac:dyDescent="0.15">
      <c r="H30" s="767">
        <v>10</v>
      </c>
      <c r="I30" s="774" t="s">
        <v>400</v>
      </c>
      <c r="J30" s="774" t="s">
        <v>390</v>
      </c>
      <c r="K30" s="771">
        <v>1</v>
      </c>
      <c r="L30" s="775">
        <v>0.1</v>
      </c>
      <c r="M30" s="775">
        <v>0.04</v>
      </c>
      <c r="N30" s="776">
        <v>2.5000000000000001E-2</v>
      </c>
      <c r="O30" s="767"/>
      <c r="P30" s="767"/>
      <c r="Q30" s="767"/>
      <c r="R30" s="767"/>
      <c r="S30" s="767"/>
      <c r="T30" s="767"/>
      <c r="U30" s="767"/>
    </row>
    <row r="31" spans="8:21" x14ac:dyDescent="0.15">
      <c r="H31" s="767">
        <v>9</v>
      </c>
      <c r="I31" s="774" t="s">
        <v>401</v>
      </c>
      <c r="J31" s="774" t="s">
        <v>391</v>
      </c>
      <c r="K31" s="771">
        <v>1</v>
      </c>
      <c r="L31" s="777">
        <v>0.3</v>
      </c>
      <c r="M31" s="777">
        <v>0.12</v>
      </c>
      <c r="N31" s="777">
        <v>7.4999999999999997E-2</v>
      </c>
      <c r="O31" s="777">
        <v>0.05</v>
      </c>
      <c r="P31" s="777">
        <v>0.05</v>
      </c>
      <c r="Q31" s="778">
        <v>1.4999999999999999E-2</v>
      </c>
      <c r="R31" s="778">
        <v>1.4999999999999999E-2</v>
      </c>
      <c r="S31" s="778">
        <v>1.4999999999999999E-2</v>
      </c>
      <c r="T31" s="778">
        <v>1.4999999999999999E-2</v>
      </c>
      <c r="U31" s="778">
        <v>1.4999999999999999E-2</v>
      </c>
    </row>
    <row r="32" spans="8:21" x14ac:dyDescent="0.15">
      <c r="H32" s="767">
        <v>8</v>
      </c>
      <c r="I32" s="774" t="s">
        <v>402</v>
      </c>
      <c r="J32" s="774" t="s">
        <v>392</v>
      </c>
      <c r="K32" s="771">
        <v>1</v>
      </c>
      <c r="L32" s="779">
        <v>0.2</v>
      </c>
      <c r="M32" s="779">
        <v>0.1</v>
      </c>
      <c r="N32" s="779">
        <v>7.0000000000000007E-2</v>
      </c>
      <c r="O32" s="779">
        <v>0.02</v>
      </c>
      <c r="P32" s="779">
        <v>0.01</v>
      </c>
      <c r="Q32" s="779">
        <v>0.01</v>
      </c>
      <c r="R32" s="779">
        <v>0.01</v>
      </c>
      <c r="S32" s="779">
        <v>0.01</v>
      </c>
      <c r="T32" s="779">
        <v>0.01</v>
      </c>
      <c r="U32" s="779">
        <v>0.01</v>
      </c>
    </row>
    <row r="33" spans="8:21" x14ac:dyDescent="0.15">
      <c r="H33" s="767">
        <v>7</v>
      </c>
      <c r="I33" s="774" t="s">
        <v>403</v>
      </c>
      <c r="J33" s="774" t="s">
        <v>393</v>
      </c>
      <c r="K33" s="771">
        <v>1</v>
      </c>
      <c r="L33" s="780">
        <v>0.3</v>
      </c>
      <c r="M33" s="780">
        <v>0.16</v>
      </c>
      <c r="N33" s="780">
        <v>0.1</v>
      </c>
      <c r="O33" s="780">
        <v>0.02</v>
      </c>
      <c r="P33" s="780">
        <v>0.01</v>
      </c>
      <c r="Q33" s="780">
        <v>0.01</v>
      </c>
      <c r="R33" s="780">
        <v>0.01</v>
      </c>
      <c r="S33" s="780">
        <v>0.01</v>
      </c>
      <c r="T33" s="780">
        <v>0.01</v>
      </c>
      <c r="U33" s="780">
        <v>0.01</v>
      </c>
    </row>
    <row r="34" spans="8:21" x14ac:dyDescent="0.15">
      <c r="H34" s="767">
        <v>6</v>
      </c>
      <c r="I34" s="774" t="s">
        <v>404</v>
      </c>
      <c r="J34" s="774" t="s">
        <v>394</v>
      </c>
      <c r="K34" s="771">
        <v>1</v>
      </c>
      <c r="L34" s="779">
        <v>0.15</v>
      </c>
      <c r="M34" s="779">
        <v>0.06</v>
      </c>
      <c r="N34" s="779">
        <v>3.7499999999999999E-2</v>
      </c>
      <c r="O34" s="779">
        <v>0.01</v>
      </c>
      <c r="P34" s="779">
        <v>0.01</v>
      </c>
      <c r="Q34" s="767"/>
      <c r="R34" s="767"/>
      <c r="S34" s="767"/>
      <c r="T34" s="767"/>
      <c r="U34" s="767"/>
    </row>
    <row r="35" spans="8:21" x14ac:dyDescent="0.15">
      <c r="H35" s="767">
        <v>5</v>
      </c>
      <c r="I35" s="774" t="s">
        <v>405</v>
      </c>
      <c r="J35" s="774" t="s">
        <v>395</v>
      </c>
      <c r="K35" s="771">
        <v>1</v>
      </c>
      <c r="L35" s="779">
        <v>0.3</v>
      </c>
      <c r="M35" s="779">
        <v>0.12</v>
      </c>
      <c r="N35" s="779">
        <v>0.08</v>
      </c>
      <c r="O35" s="779">
        <v>2.5000000000000001E-2</v>
      </c>
      <c r="P35" s="779">
        <v>2.5000000000000001E-2</v>
      </c>
      <c r="Q35" s="779">
        <v>2.5000000000000001E-2</v>
      </c>
      <c r="R35" s="779">
        <v>2.5000000000000001E-2</v>
      </c>
      <c r="S35" s="779">
        <v>2.5000000000000001E-2</v>
      </c>
      <c r="T35" s="779">
        <v>2.5000000000000001E-2</v>
      </c>
      <c r="U35" s="779">
        <v>2.5000000000000001E-2</v>
      </c>
    </row>
    <row r="36" spans="8:21" x14ac:dyDescent="0.15">
      <c r="H36" s="767">
        <v>4</v>
      </c>
      <c r="I36" s="774" t="s">
        <v>406</v>
      </c>
      <c r="J36" s="774" t="s">
        <v>396</v>
      </c>
      <c r="K36" s="771">
        <v>1</v>
      </c>
      <c r="L36" s="779">
        <v>0.1</v>
      </c>
      <c r="M36" s="779">
        <v>0.05</v>
      </c>
      <c r="N36" s="779">
        <v>0.03</v>
      </c>
      <c r="O36" s="767"/>
      <c r="P36" s="767"/>
      <c r="Q36" s="767"/>
      <c r="R36" s="767"/>
      <c r="S36" s="767"/>
      <c r="T36" s="767"/>
      <c r="U36" s="767"/>
    </row>
    <row r="37" spans="8:21" x14ac:dyDescent="0.15">
      <c r="H37" s="767">
        <v>3</v>
      </c>
      <c r="I37" s="774" t="s">
        <v>407</v>
      </c>
      <c r="J37" s="774" t="s">
        <v>397</v>
      </c>
      <c r="K37" s="771">
        <v>1</v>
      </c>
      <c r="L37" s="779">
        <v>0.23</v>
      </c>
      <c r="M37" s="779">
        <v>0.1</v>
      </c>
      <c r="N37" s="779">
        <v>6.25E-2</v>
      </c>
      <c r="O37" s="779">
        <v>0.01</v>
      </c>
      <c r="P37" s="779">
        <v>0.01</v>
      </c>
      <c r="Q37" s="767"/>
      <c r="R37" s="767"/>
      <c r="S37" s="767"/>
      <c r="T37" s="767"/>
      <c r="U37" s="767"/>
    </row>
    <row r="38" spans="8:21" x14ac:dyDescent="0.15">
      <c r="H38" s="767">
        <v>2</v>
      </c>
      <c r="I38" s="774" t="s">
        <v>408</v>
      </c>
      <c r="J38" s="774" t="s">
        <v>398</v>
      </c>
      <c r="K38" s="771">
        <v>1</v>
      </c>
      <c r="L38" s="779">
        <v>0.15</v>
      </c>
      <c r="M38" s="779">
        <v>0.06</v>
      </c>
      <c r="N38" s="779">
        <v>3.7499999999999999E-2</v>
      </c>
      <c r="O38" s="779">
        <v>0.01</v>
      </c>
      <c r="P38" s="767"/>
      <c r="Q38" s="767"/>
      <c r="R38" s="767"/>
      <c r="S38" s="767"/>
      <c r="T38" s="767"/>
      <c r="U38" s="767"/>
    </row>
    <row r="39" spans="8:21" x14ac:dyDescent="0.15">
      <c r="H39" s="767">
        <v>1</v>
      </c>
      <c r="I39" s="774" t="s">
        <v>409</v>
      </c>
      <c r="J39" s="774" t="s">
        <v>399</v>
      </c>
      <c r="K39" s="771">
        <v>1</v>
      </c>
      <c r="L39" s="779">
        <v>0.05</v>
      </c>
      <c r="M39" s="779">
        <v>0.02</v>
      </c>
      <c r="N39" s="779">
        <v>1.2500000000000001E-2</v>
      </c>
      <c r="O39" s="779">
        <v>0.01</v>
      </c>
      <c r="P39" s="767"/>
      <c r="Q39" s="767"/>
      <c r="R39" s="767"/>
      <c r="S39" s="767"/>
      <c r="T39" s="767"/>
      <c r="U39" s="767"/>
    </row>
    <row r="40" spans="8:21" x14ac:dyDescent="0.15">
      <c r="H40" s="764">
        <v>0</v>
      </c>
    </row>
  </sheetData>
  <sheetProtection algorithmName="SHA-512" hashValue="8zqLmGqaJo1ynd2PmnQDvut/GEgkrZ5Umv6EP8asl+ShK5FnfyM91teAEwSiSZDV6qM4VRC5PiIySBeHsEWcdA==" saltValue="gb7z0WKBUN3a+KpWDEjwpg==" spinCount="100000" sheet="1" objects="1" scenarios="1" selectLockedCells="1"/>
  <customSheetViews>
    <customSheetView guid="{82B311FB-57F0-41B4-A7C3-5882014D86A1}" showPageBreaks="1" hiddenColumns="1" state="veryHidden" topLeftCell="V1">
      <selection activeCell="AH5" sqref="AH5"/>
      <pageMargins left="0.7" right="0.7" top="0.75" bottom="0.75" header="0.3" footer="0.3"/>
      <pageSetup paperSize="9" orientation="portrait" r:id="rId1"/>
    </customSheetView>
    <customSheetView guid="{00AC2CC8-9B9F-4979-A039-643E7B67D066}" hiddenColumns="1" state="hidden">
      <selection activeCell="D1" sqref="D1"/>
      <pageMargins left="0.7" right="0.7" top="0.75" bottom="0.75" header="0.3" footer="0.3"/>
    </customSheetView>
  </customSheetViews>
  <mergeCells count="5">
    <mergeCell ref="L1:U1"/>
    <mergeCell ref="I1:I2"/>
    <mergeCell ref="H1:H2"/>
    <mergeCell ref="K1:K2"/>
    <mergeCell ref="J1:J2"/>
  </mergeCell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6610" r:id="rId5" name="Spinner 2">
              <controlPr defaultSize="0" autoPict="0">
                <anchor moveWithCells="1" sizeWithCells="1">
                  <from>
                    <xdr:col>2</xdr:col>
                    <xdr:colOff>15240</xdr:colOff>
                    <xdr:row>0</xdr:row>
                    <xdr:rowOff>7620</xdr:rowOff>
                  </from>
                  <to>
                    <xdr:col>2</xdr:col>
                    <xdr:colOff>594360</xdr:colOff>
                    <xdr:row>0</xdr:row>
                    <xdr:rowOff>327660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1D1B-1500-4A4D-AB2B-EBA3F4104170}">
  <sheetPr codeName="Sheet2">
    <tabColor rgb="FF0070C0"/>
    <pageSetUpPr fitToPage="1"/>
  </sheetPr>
  <dimension ref="A1:L76"/>
  <sheetViews>
    <sheetView showRuler="0" topLeftCell="A11" zoomScale="60" zoomScaleNormal="60" workbookViewId="0">
      <selection activeCell="I7" sqref="I7"/>
    </sheetView>
  </sheetViews>
  <sheetFormatPr defaultColWidth="9.16796875" defaultRowHeight="29.25" x14ac:dyDescent="0.15"/>
  <cols>
    <col min="1" max="1" width="7.55078125" style="2" customWidth="1"/>
    <col min="2" max="2" width="58.9296875" style="2" customWidth="1"/>
    <col min="3" max="4" width="40.9921875" style="2" customWidth="1"/>
    <col min="5" max="6" width="36.8125" style="2" customWidth="1"/>
    <col min="7" max="7" width="11.0546875" style="2" customWidth="1"/>
    <col min="8" max="8" width="9.16796875" style="2"/>
    <col min="9" max="13" width="9.16796875" style="2" customWidth="1"/>
    <col min="14" max="16384" width="9.16796875" style="2"/>
  </cols>
  <sheetData>
    <row r="1" spans="1:12" hidden="1" x14ac:dyDescent="0.15">
      <c r="A1" s="102"/>
      <c r="B1" s="102"/>
      <c r="C1" s="102"/>
      <c r="D1" s="102"/>
      <c r="E1" s="102"/>
      <c r="F1" s="102"/>
      <c r="G1" s="102"/>
    </row>
    <row r="2" spans="1:12" ht="12" customHeight="1" thickBot="1" x14ac:dyDescent="0.2">
      <c r="A2" s="6"/>
      <c r="B2" s="6"/>
      <c r="C2" s="6"/>
      <c r="D2" s="6"/>
      <c r="E2" s="6"/>
      <c r="F2" s="6"/>
      <c r="G2" s="6"/>
    </row>
    <row r="3" spans="1:12" ht="59.45" customHeight="1" x14ac:dyDescent="0.15">
      <c r="A3" s="6"/>
      <c r="B3" s="949" t="s">
        <v>149</v>
      </c>
      <c r="C3" s="950"/>
      <c r="D3" s="950"/>
      <c r="E3" s="950"/>
      <c r="F3" s="951"/>
      <c r="G3" s="6"/>
    </row>
    <row r="4" spans="1:12" ht="36" customHeight="1" x14ac:dyDescent="0.15">
      <c r="A4" s="6"/>
      <c r="B4" s="266" t="s">
        <v>148</v>
      </c>
      <c r="C4" s="929" t="s">
        <v>187</v>
      </c>
      <c r="D4" s="929"/>
      <c r="E4" s="929"/>
      <c r="F4" s="930"/>
      <c r="G4" s="6"/>
    </row>
    <row r="5" spans="1:12" ht="36" customHeight="1" x14ac:dyDescent="0.15">
      <c r="A5" s="6"/>
      <c r="B5" s="266" t="s">
        <v>188</v>
      </c>
      <c r="C5" s="929" t="s">
        <v>189</v>
      </c>
      <c r="D5" s="929"/>
      <c r="E5" s="929"/>
      <c r="F5" s="930"/>
      <c r="G5" s="6"/>
    </row>
    <row r="6" spans="1:12" ht="36" customHeight="1" x14ac:dyDescent="0.15">
      <c r="A6" s="6"/>
      <c r="B6" s="952" t="s">
        <v>190</v>
      </c>
      <c r="C6" s="947" t="s">
        <v>191</v>
      </c>
      <c r="D6" s="947"/>
      <c r="E6" s="947" t="s">
        <v>192</v>
      </c>
      <c r="F6" s="948"/>
      <c r="G6" s="6"/>
    </row>
    <row r="7" spans="1:12" ht="36" customHeight="1" x14ac:dyDescent="0.15">
      <c r="A7" s="6"/>
      <c r="B7" s="953"/>
      <c r="C7" s="954" t="s">
        <v>193</v>
      </c>
      <c r="D7" s="954"/>
      <c r="E7" s="954">
        <v>0.2</v>
      </c>
      <c r="F7" s="955"/>
      <c r="G7" s="6"/>
    </row>
    <row r="8" spans="1:12" ht="36" customHeight="1" x14ac:dyDescent="0.15">
      <c r="A8" s="6"/>
      <c r="B8" s="953"/>
      <c r="C8" s="954" t="s">
        <v>194</v>
      </c>
      <c r="D8" s="954"/>
      <c r="E8" s="954">
        <v>0.25</v>
      </c>
      <c r="F8" s="955"/>
      <c r="G8" s="6"/>
    </row>
    <row r="9" spans="1:12" ht="36" customHeight="1" x14ac:dyDescent="0.15">
      <c r="A9" s="6"/>
      <c r="B9" s="953"/>
      <c r="C9" s="954" t="s">
        <v>195</v>
      </c>
      <c r="D9" s="954"/>
      <c r="E9" s="954">
        <v>0.3</v>
      </c>
      <c r="F9" s="955"/>
      <c r="G9" s="6"/>
    </row>
    <row r="10" spans="1:12" ht="36" customHeight="1" x14ac:dyDescent="0.15">
      <c r="A10" s="6"/>
      <c r="B10" s="953"/>
      <c r="C10" s="954" t="s">
        <v>328</v>
      </c>
      <c r="D10" s="954"/>
      <c r="E10" s="954">
        <v>0.35</v>
      </c>
      <c r="F10" s="955"/>
      <c r="G10" s="6"/>
    </row>
    <row r="11" spans="1:12" ht="36" customHeight="1" x14ac:dyDescent="0.15">
      <c r="A11" s="6"/>
      <c r="B11" s="266" t="s">
        <v>196</v>
      </c>
      <c r="C11" s="929" t="s">
        <v>197</v>
      </c>
      <c r="D11" s="929"/>
      <c r="E11" s="929"/>
      <c r="F11" s="930"/>
      <c r="G11" s="6"/>
    </row>
    <row r="12" spans="1:12" ht="36" customHeight="1" x14ac:dyDescent="0.15">
      <c r="A12" s="6"/>
      <c r="B12" s="945" t="s">
        <v>198</v>
      </c>
      <c r="C12" s="947" t="s">
        <v>199</v>
      </c>
      <c r="D12" s="947"/>
      <c r="E12" s="947" t="s">
        <v>192</v>
      </c>
      <c r="F12" s="948"/>
      <c r="G12" s="6"/>
    </row>
    <row r="13" spans="1:12" ht="36" customHeight="1" x14ac:dyDescent="0.15">
      <c r="A13" s="6"/>
      <c r="B13" s="946"/>
      <c r="C13" s="927" t="s">
        <v>200</v>
      </c>
      <c r="D13" s="927"/>
      <c r="E13" s="941">
        <v>0.17499999999999999</v>
      </c>
      <c r="F13" s="942"/>
      <c r="G13" s="6"/>
      <c r="I13" s="3"/>
      <c r="J13" s="3"/>
      <c r="L13" s="4"/>
    </row>
    <row r="14" spans="1:12" ht="36" customHeight="1" x14ac:dyDescent="0.15">
      <c r="A14" s="6"/>
      <c r="B14" s="946"/>
      <c r="C14" s="927" t="s">
        <v>201</v>
      </c>
      <c r="D14" s="927"/>
      <c r="E14" s="941">
        <v>0.2</v>
      </c>
      <c r="F14" s="942"/>
      <c r="G14" s="6"/>
      <c r="I14" s="3"/>
      <c r="J14" s="3"/>
      <c r="L14" s="4"/>
    </row>
    <row r="15" spans="1:12" ht="36" customHeight="1" x14ac:dyDescent="0.15">
      <c r="A15" s="6"/>
      <c r="B15" s="946"/>
      <c r="C15" s="927" t="s">
        <v>202</v>
      </c>
      <c r="D15" s="927"/>
      <c r="E15" s="941">
        <v>0.22500000000000001</v>
      </c>
      <c r="F15" s="942"/>
      <c r="G15" s="6"/>
      <c r="I15" s="3"/>
      <c r="J15" s="3"/>
      <c r="L15" s="4"/>
    </row>
    <row r="16" spans="1:12" ht="36" customHeight="1" x14ac:dyDescent="0.15">
      <c r="A16" s="6"/>
      <c r="B16" s="946"/>
      <c r="C16" s="927" t="s">
        <v>203</v>
      </c>
      <c r="D16" s="927"/>
      <c r="E16" s="941">
        <v>0.25</v>
      </c>
      <c r="F16" s="942"/>
      <c r="G16" s="6"/>
      <c r="I16" s="3"/>
      <c r="J16" s="3"/>
      <c r="L16" s="4"/>
    </row>
    <row r="17" spans="1:12" ht="36" customHeight="1" x14ac:dyDescent="0.15">
      <c r="A17" s="6"/>
      <c r="B17" s="946"/>
      <c r="C17" s="927" t="s">
        <v>204</v>
      </c>
      <c r="D17" s="927"/>
      <c r="E17" s="941">
        <v>0.27500000000000002</v>
      </c>
      <c r="F17" s="942"/>
      <c r="G17" s="6"/>
      <c r="I17" s="3"/>
      <c r="J17" s="3"/>
      <c r="L17" s="4"/>
    </row>
    <row r="18" spans="1:12" ht="36" customHeight="1" x14ac:dyDescent="0.15">
      <c r="A18" s="6"/>
      <c r="B18" s="946"/>
      <c r="C18" s="927" t="s">
        <v>205</v>
      </c>
      <c r="D18" s="927"/>
      <c r="E18" s="941">
        <v>0.3</v>
      </c>
      <c r="F18" s="942"/>
      <c r="G18" s="6"/>
      <c r="I18" s="3"/>
      <c r="J18" s="3"/>
      <c r="L18" s="4"/>
    </row>
    <row r="19" spans="1:12" ht="36" customHeight="1" x14ac:dyDescent="0.15">
      <c r="A19" s="6"/>
      <c r="B19" s="946"/>
      <c r="C19" s="927" t="s">
        <v>206</v>
      </c>
      <c r="D19" s="927"/>
      <c r="E19" s="941">
        <v>0.32500000000000001</v>
      </c>
      <c r="F19" s="942"/>
      <c r="G19" s="6"/>
      <c r="I19" s="3"/>
      <c r="J19" s="3"/>
      <c r="L19" s="4"/>
    </row>
    <row r="20" spans="1:12" ht="36" customHeight="1" x14ac:dyDescent="0.15">
      <c r="A20" s="6"/>
      <c r="B20" s="946"/>
      <c r="C20" s="927" t="s">
        <v>329</v>
      </c>
      <c r="D20" s="927"/>
      <c r="E20" s="941">
        <v>0.35</v>
      </c>
      <c r="F20" s="942"/>
      <c r="G20" s="6"/>
      <c r="I20" s="3"/>
      <c r="J20" s="647"/>
      <c r="L20" s="4"/>
    </row>
    <row r="21" spans="1:12" ht="36" customHeight="1" x14ac:dyDescent="0.15">
      <c r="A21" s="6"/>
      <c r="B21" s="946"/>
      <c r="C21" s="943" t="s">
        <v>330</v>
      </c>
      <c r="D21" s="943"/>
      <c r="E21" s="943"/>
      <c r="F21" s="944"/>
      <c r="G21" s="6"/>
      <c r="I21" s="3"/>
      <c r="J21" s="3"/>
      <c r="L21" s="4"/>
    </row>
    <row r="22" spans="1:12" ht="36" customHeight="1" x14ac:dyDescent="0.15">
      <c r="A22" s="6"/>
      <c r="B22" s="266" t="s">
        <v>322</v>
      </c>
      <c r="C22" s="929" t="s">
        <v>208</v>
      </c>
      <c r="D22" s="929"/>
      <c r="E22" s="929" t="s">
        <v>209</v>
      </c>
      <c r="F22" s="930"/>
      <c r="G22" s="6"/>
    </row>
    <row r="23" spans="1:12" ht="36" customHeight="1" x14ac:dyDescent="0.15">
      <c r="A23" s="6"/>
      <c r="B23" s="931" t="s">
        <v>207</v>
      </c>
      <c r="C23" s="933" t="s">
        <v>210</v>
      </c>
      <c r="D23" s="933"/>
      <c r="E23" s="933" t="s">
        <v>211</v>
      </c>
      <c r="F23" s="934"/>
      <c r="G23" s="6"/>
    </row>
    <row r="24" spans="1:12" ht="36" customHeight="1" x14ac:dyDescent="0.15">
      <c r="A24" s="6"/>
      <c r="B24" s="932"/>
      <c r="C24" s="935" t="s">
        <v>212</v>
      </c>
      <c r="D24" s="935"/>
      <c r="E24" s="935" t="s">
        <v>212</v>
      </c>
      <c r="F24" s="936"/>
      <c r="G24" s="6"/>
    </row>
    <row r="25" spans="1:12" ht="36" customHeight="1" x14ac:dyDescent="0.15">
      <c r="A25" s="6"/>
      <c r="B25" s="932"/>
      <c r="C25" s="935" t="s">
        <v>213</v>
      </c>
      <c r="D25" s="935"/>
      <c r="E25" s="937" t="s">
        <v>213</v>
      </c>
      <c r="F25" s="938"/>
      <c r="G25" s="6"/>
    </row>
    <row r="26" spans="1:12" ht="36" customHeight="1" x14ac:dyDescent="0.15">
      <c r="A26" s="6"/>
      <c r="B26" s="932"/>
      <c r="C26" s="935" t="s">
        <v>214</v>
      </c>
      <c r="D26" s="935"/>
      <c r="E26" s="935" t="s">
        <v>215</v>
      </c>
      <c r="F26" s="936"/>
      <c r="G26" s="6"/>
    </row>
    <row r="27" spans="1:12" ht="36" customHeight="1" x14ac:dyDescent="0.15">
      <c r="A27" s="6"/>
      <c r="B27" s="266" t="s">
        <v>323</v>
      </c>
      <c r="C27" s="939"/>
      <c r="D27" s="939"/>
      <c r="E27" s="939"/>
      <c r="F27" s="940"/>
      <c r="G27" s="6"/>
      <c r="K27" s="105"/>
    </row>
    <row r="28" spans="1:12" ht="36" customHeight="1" x14ac:dyDescent="0.6">
      <c r="A28" s="6"/>
      <c r="B28" s="121" t="s">
        <v>216</v>
      </c>
      <c r="C28" s="924" t="s">
        <v>217</v>
      </c>
      <c r="D28" s="924"/>
      <c r="E28" s="924"/>
      <c r="F28" s="925"/>
      <c r="G28" s="6"/>
    </row>
    <row r="29" spans="1:12" ht="36" customHeight="1" x14ac:dyDescent="0.15">
      <c r="A29" s="6"/>
      <c r="B29" s="267"/>
      <c r="C29" s="924" t="s">
        <v>218</v>
      </c>
      <c r="D29" s="924"/>
      <c r="E29" s="924"/>
      <c r="F29" s="925"/>
      <c r="G29" s="6"/>
    </row>
    <row r="30" spans="1:12" ht="36" customHeight="1" x14ac:dyDescent="0.15">
      <c r="A30" s="6"/>
      <c r="B30" s="267"/>
      <c r="C30" s="926" t="s">
        <v>219</v>
      </c>
      <c r="D30" s="926"/>
      <c r="E30" s="927">
        <v>6000</v>
      </c>
      <c r="F30" s="928"/>
      <c r="G30" s="6"/>
    </row>
    <row r="31" spans="1:12" ht="36" customHeight="1" x14ac:dyDescent="0.15">
      <c r="A31" s="6"/>
      <c r="B31" s="267"/>
      <c r="C31" s="926" t="s">
        <v>220</v>
      </c>
      <c r="D31" s="926"/>
      <c r="E31" s="927">
        <v>15000</v>
      </c>
      <c r="F31" s="928"/>
      <c r="G31" s="6"/>
    </row>
    <row r="32" spans="1:12" ht="36" customHeight="1" x14ac:dyDescent="0.15">
      <c r="A32" s="6"/>
      <c r="B32" s="267"/>
      <c r="C32" s="924" t="s">
        <v>221</v>
      </c>
      <c r="D32" s="924"/>
      <c r="E32" s="924"/>
      <c r="F32" s="925"/>
      <c r="G32" s="6"/>
    </row>
    <row r="33" spans="1:8" ht="36" customHeight="1" x14ac:dyDescent="0.15">
      <c r="A33" s="6"/>
      <c r="B33" s="267"/>
      <c r="C33" s="926" t="s">
        <v>222</v>
      </c>
      <c r="D33" s="926"/>
      <c r="E33" s="927">
        <v>10000</v>
      </c>
      <c r="F33" s="928"/>
      <c r="G33" s="6"/>
    </row>
    <row r="34" spans="1:8" ht="36" customHeight="1" x14ac:dyDescent="0.15">
      <c r="A34" s="6"/>
      <c r="B34" s="267"/>
      <c r="C34" s="926" t="s">
        <v>223</v>
      </c>
      <c r="D34" s="926"/>
      <c r="E34" s="927">
        <v>25000</v>
      </c>
      <c r="F34" s="928"/>
      <c r="G34" s="6"/>
    </row>
    <row r="35" spans="1:8" ht="36" customHeight="1" x14ac:dyDescent="0.15">
      <c r="A35" s="6"/>
      <c r="B35" s="268" t="s">
        <v>324</v>
      </c>
      <c r="C35" s="896"/>
      <c r="D35" s="896"/>
      <c r="E35" s="896"/>
      <c r="F35" s="897"/>
      <c r="G35" s="269"/>
      <c r="H35" s="5"/>
    </row>
    <row r="36" spans="1:8" ht="36" customHeight="1" x14ac:dyDescent="0.15">
      <c r="A36" s="6"/>
      <c r="B36" s="270" t="s">
        <v>224</v>
      </c>
      <c r="C36" s="922" t="s">
        <v>225</v>
      </c>
      <c r="D36" s="922"/>
      <c r="E36" s="922" t="s">
        <v>226</v>
      </c>
      <c r="F36" s="923"/>
      <c r="G36" s="269"/>
      <c r="H36" s="5"/>
    </row>
    <row r="37" spans="1:8" ht="36" customHeight="1" x14ac:dyDescent="0.15">
      <c r="A37" s="6"/>
      <c r="B37" s="905">
        <v>100000</v>
      </c>
      <c r="C37" s="908" t="s">
        <v>227</v>
      </c>
      <c r="D37" s="908"/>
      <c r="E37" s="909" t="s">
        <v>228</v>
      </c>
      <c r="F37" s="910"/>
      <c r="G37" s="269"/>
      <c r="H37" s="5"/>
    </row>
    <row r="38" spans="1:8" ht="36" customHeight="1" x14ac:dyDescent="0.15">
      <c r="A38" s="6"/>
      <c r="B38" s="906"/>
      <c r="C38" s="908" t="s">
        <v>229</v>
      </c>
      <c r="D38" s="908"/>
      <c r="E38" s="911"/>
      <c r="F38" s="912"/>
      <c r="G38" s="269"/>
      <c r="H38" s="5"/>
    </row>
    <row r="39" spans="1:8" ht="36" customHeight="1" x14ac:dyDescent="0.15">
      <c r="A39" s="6"/>
      <c r="B39" s="907"/>
      <c r="C39" s="908" t="s">
        <v>230</v>
      </c>
      <c r="D39" s="908"/>
      <c r="E39" s="913"/>
      <c r="F39" s="914"/>
      <c r="G39" s="269"/>
      <c r="H39" s="5"/>
    </row>
    <row r="40" spans="1:8" ht="36" customHeight="1" x14ac:dyDescent="0.15">
      <c r="A40" s="6"/>
      <c r="B40" s="915">
        <v>300000</v>
      </c>
      <c r="C40" s="902" t="s">
        <v>227</v>
      </c>
      <c r="D40" s="902"/>
      <c r="E40" s="918" t="s">
        <v>231</v>
      </c>
      <c r="F40" s="919"/>
      <c r="G40" s="269"/>
      <c r="H40" s="5"/>
    </row>
    <row r="41" spans="1:8" ht="36" customHeight="1" x14ac:dyDescent="0.15">
      <c r="A41" s="6"/>
      <c r="B41" s="916"/>
      <c r="C41" s="902" t="s">
        <v>229</v>
      </c>
      <c r="D41" s="902"/>
      <c r="E41" s="920" t="s">
        <v>232</v>
      </c>
      <c r="F41" s="921"/>
      <c r="G41" s="269"/>
      <c r="H41" s="5"/>
    </row>
    <row r="42" spans="1:8" ht="36" customHeight="1" x14ac:dyDescent="0.15">
      <c r="A42" s="6"/>
      <c r="B42" s="917"/>
      <c r="C42" s="902" t="s">
        <v>233</v>
      </c>
      <c r="D42" s="902"/>
      <c r="E42" s="903" t="s">
        <v>234</v>
      </c>
      <c r="F42" s="904"/>
      <c r="G42" s="269"/>
      <c r="H42" s="5"/>
    </row>
    <row r="43" spans="1:8" ht="36" customHeight="1" x14ac:dyDescent="0.15">
      <c r="A43" s="6"/>
      <c r="B43" s="905">
        <v>500000</v>
      </c>
      <c r="C43" s="908" t="s">
        <v>227</v>
      </c>
      <c r="D43" s="908"/>
      <c r="E43" s="909" t="s">
        <v>235</v>
      </c>
      <c r="F43" s="910"/>
      <c r="G43" s="269"/>
      <c r="H43" s="5"/>
    </row>
    <row r="44" spans="1:8" ht="36" customHeight="1" x14ac:dyDescent="0.15">
      <c r="A44" s="6"/>
      <c r="B44" s="906"/>
      <c r="C44" s="908" t="s">
        <v>229</v>
      </c>
      <c r="D44" s="908"/>
      <c r="E44" s="911" t="s">
        <v>236</v>
      </c>
      <c r="F44" s="912"/>
      <c r="G44" s="269"/>
      <c r="H44" s="5"/>
    </row>
    <row r="45" spans="1:8" ht="36" customHeight="1" x14ac:dyDescent="0.15">
      <c r="A45" s="6"/>
      <c r="B45" s="907"/>
      <c r="C45" s="908" t="s">
        <v>237</v>
      </c>
      <c r="D45" s="908"/>
      <c r="E45" s="913" t="s">
        <v>234</v>
      </c>
      <c r="F45" s="914"/>
      <c r="G45" s="269"/>
      <c r="H45" s="5"/>
    </row>
    <row r="46" spans="1:8" ht="36" customHeight="1" x14ac:dyDescent="0.15">
      <c r="A46" s="6"/>
      <c r="B46" s="266" t="s">
        <v>325</v>
      </c>
      <c r="C46" s="896" t="s">
        <v>238</v>
      </c>
      <c r="D46" s="896"/>
      <c r="E46" s="896"/>
      <c r="F46" s="897"/>
      <c r="G46" s="269"/>
      <c r="H46" s="5"/>
    </row>
    <row r="47" spans="1:8" ht="36" customHeight="1" thickBot="1" x14ac:dyDescent="0.2">
      <c r="A47" s="6"/>
      <c r="B47" s="271"/>
      <c r="C47" s="898" t="s">
        <v>239</v>
      </c>
      <c r="D47" s="898"/>
      <c r="E47" s="898"/>
      <c r="F47" s="899"/>
      <c r="G47" s="272"/>
      <c r="H47" s="5"/>
    </row>
    <row r="48" spans="1:8" ht="30.75" customHeight="1" x14ac:dyDescent="0.15">
      <c r="A48" s="6"/>
      <c r="B48" s="900"/>
      <c r="C48" s="900"/>
      <c r="D48" s="900"/>
      <c r="E48" s="900"/>
      <c r="F48" s="900"/>
      <c r="G48" s="273"/>
      <c r="H48" s="5"/>
    </row>
    <row r="49" spans="1:8" ht="30.75" customHeight="1" x14ac:dyDescent="0.15">
      <c r="A49" s="6"/>
      <c r="B49" s="901" t="s">
        <v>240</v>
      </c>
      <c r="C49" s="901"/>
      <c r="D49" s="901"/>
      <c r="E49" s="901"/>
      <c r="F49" s="901"/>
      <c r="G49" s="273"/>
      <c r="H49" s="5"/>
    </row>
    <row r="50" spans="1:8" ht="30.75" customHeight="1" x14ac:dyDescent="0.15">
      <c r="A50" s="6"/>
      <c r="B50" s="901" t="s">
        <v>241</v>
      </c>
      <c r="C50" s="901"/>
      <c r="D50" s="901"/>
      <c r="E50" s="901"/>
      <c r="F50" s="901"/>
      <c r="G50" s="273"/>
      <c r="H50" s="5"/>
    </row>
    <row r="51" spans="1:8" ht="30" customHeight="1" x14ac:dyDescent="0.15">
      <c r="A51" s="6"/>
      <c r="B51" s="6"/>
      <c r="C51" s="274"/>
      <c r="D51" s="274"/>
      <c r="E51" s="274"/>
      <c r="F51" s="274"/>
      <c r="G51" s="6"/>
    </row>
    <row r="52" spans="1:8" ht="30" customHeight="1" x14ac:dyDescent="0.15">
      <c r="A52" s="6"/>
      <c r="B52" s="6"/>
      <c r="C52" s="6"/>
      <c r="D52" s="6"/>
      <c r="E52" s="6"/>
      <c r="F52" s="6"/>
      <c r="G52" s="6"/>
    </row>
    <row r="53" spans="1:8" ht="30" customHeight="1" x14ac:dyDescent="0.15"/>
    <row r="54" spans="1:8" ht="30" customHeight="1" x14ac:dyDescent="0.15"/>
    <row r="55" spans="1:8" ht="30" customHeight="1" x14ac:dyDescent="0.15"/>
    <row r="56" spans="1:8" ht="30" customHeight="1" x14ac:dyDescent="0.15"/>
    <row r="57" spans="1:8" ht="30" customHeight="1" x14ac:dyDescent="0.15"/>
    <row r="58" spans="1:8" ht="30" customHeight="1" x14ac:dyDescent="0.15"/>
    <row r="59" spans="1:8" ht="30" customHeight="1" x14ac:dyDescent="0.15"/>
    <row r="60" spans="1:8" ht="30" customHeight="1" x14ac:dyDescent="0.15"/>
    <row r="61" spans="1:8" ht="30" customHeight="1" x14ac:dyDescent="0.15"/>
    <row r="62" spans="1:8" ht="30" customHeight="1" x14ac:dyDescent="0.15"/>
    <row r="63" spans="1:8" ht="30" customHeight="1" x14ac:dyDescent="0.15"/>
    <row r="64" spans="1:8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</sheetData>
  <sheetProtection algorithmName="SHA-512" hashValue="UAlm1fh4B6y77uyVTmNUGwTd+NvOZQON6X5XT41gLOLdQRKGAVq3IuO6/3Ruul151oLfiskCluHFtficNA2edg==" saltValue="9Gv/urIJU+1gXSn9gypP0g==" spinCount="100000" sheet="1" objects="1" scenarios="1" selectLockedCells="1"/>
  <customSheetViews>
    <customSheetView guid="{82B311FB-57F0-41B4-A7C3-5882014D86A1}" scale="60" fitToPage="1" hiddenRows="1" showRuler="0" topLeftCell="A11">
      <selection activeCell="I7" sqref="I7"/>
      <pageMargins left="0.19685039370078741" right="0.19685039370078741" top="0.39370078740157483" bottom="0.19685039370078741" header="0" footer="0"/>
      <printOptions horizontalCentered="1"/>
      <pageSetup paperSize="9" scale="47" orientation="portrait" r:id="rId1"/>
      <headerFooter alignWithMargins="0"/>
    </customSheetView>
  </customSheetViews>
  <mergeCells count="85">
    <mergeCell ref="B3:F3"/>
    <mergeCell ref="C4:F4"/>
    <mergeCell ref="C5:F5"/>
    <mergeCell ref="B6:B10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F11"/>
    <mergeCell ref="B12:B2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F21"/>
    <mergeCell ref="C28:F28"/>
    <mergeCell ref="C22:D22"/>
    <mergeCell ref="E22:F22"/>
    <mergeCell ref="B23:B26"/>
    <mergeCell ref="C23:D23"/>
    <mergeCell ref="E23:F23"/>
    <mergeCell ref="C24:D24"/>
    <mergeCell ref="E24:F24"/>
    <mergeCell ref="C25:D25"/>
    <mergeCell ref="E25:F25"/>
    <mergeCell ref="C26:D26"/>
    <mergeCell ref="E26:F26"/>
    <mergeCell ref="C27:F27"/>
    <mergeCell ref="C36:D36"/>
    <mergeCell ref="E36:F36"/>
    <mergeCell ref="C29:F29"/>
    <mergeCell ref="C30:D30"/>
    <mergeCell ref="E30:F30"/>
    <mergeCell ref="C31:D31"/>
    <mergeCell ref="E31:F31"/>
    <mergeCell ref="C32:F32"/>
    <mergeCell ref="C33:D33"/>
    <mergeCell ref="E33:F33"/>
    <mergeCell ref="C34:D34"/>
    <mergeCell ref="E34:F34"/>
    <mergeCell ref="C35:F35"/>
    <mergeCell ref="B37:B39"/>
    <mergeCell ref="C37:D37"/>
    <mergeCell ref="E37:F39"/>
    <mergeCell ref="C38:D38"/>
    <mergeCell ref="C39:D39"/>
    <mergeCell ref="C42:D42"/>
    <mergeCell ref="E42:F42"/>
    <mergeCell ref="B43:B45"/>
    <mergeCell ref="C43:D43"/>
    <mergeCell ref="E43:F43"/>
    <mergeCell ref="C44:D44"/>
    <mergeCell ref="E44:F44"/>
    <mergeCell ref="C45:D45"/>
    <mergeCell ref="E45:F45"/>
    <mergeCell ref="B40:B42"/>
    <mergeCell ref="C40:D40"/>
    <mergeCell ref="E40:F40"/>
    <mergeCell ref="C41:D41"/>
    <mergeCell ref="E41:F41"/>
    <mergeCell ref="C46:F46"/>
    <mergeCell ref="C47:F47"/>
    <mergeCell ref="B48:F48"/>
    <mergeCell ref="B49:F49"/>
    <mergeCell ref="B50:F50"/>
  </mergeCells>
  <printOptions horizontalCentered="1"/>
  <pageMargins left="0.19685039370078741" right="0.19685039370078741" top="0.39370078740157483" bottom="0.19685039370078741" header="0" footer="0"/>
  <pageSetup paperSize="9" scale="47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tabColor rgb="FF0070C0"/>
  </sheetPr>
  <dimension ref="A1:P18"/>
  <sheetViews>
    <sheetView zoomScale="80" zoomScaleNormal="80" workbookViewId="0">
      <selection activeCell="M13" sqref="M13"/>
    </sheetView>
  </sheetViews>
  <sheetFormatPr defaultColWidth="8.8984375" defaultRowHeight="32.25" x14ac:dyDescent="0.15"/>
  <cols>
    <col min="1" max="1" width="30.609375" style="101" bestFit="1" customWidth="1"/>
    <col min="2" max="2" width="14.42578125" style="125" bestFit="1" customWidth="1"/>
    <col min="3" max="8" width="16.71875" style="125" customWidth="1"/>
    <col min="9" max="9" width="21.171875" style="125" customWidth="1"/>
    <col min="10" max="10" width="5.2578125" style="101" customWidth="1"/>
    <col min="11" max="11" width="8.8984375" style="101"/>
    <col min="12" max="12" width="29.66796875" style="101" customWidth="1"/>
    <col min="13" max="13" width="40.58984375" style="101" customWidth="1"/>
    <col min="14" max="14" width="12.5390625" style="101" customWidth="1"/>
    <col min="15" max="16" width="7.68359375" style="101" customWidth="1"/>
    <col min="17" max="16384" width="8.8984375" style="101"/>
  </cols>
  <sheetData>
    <row r="1" spans="1:16" ht="54" customHeight="1" x14ac:dyDescent="0.15">
      <c r="A1" s="785"/>
      <c r="B1" s="957" t="str">
        <f>M3</f>
        <v>สุพรีม ไลฟ์  โพรเทคเตอร์ A90/20</v>
      </c>
      <c r="C1" s="957"/>
      <c r="D1" s="957"/>
      <c r="E1" s="957"/>
      <c r="F1" s="957"/>
      <c r="G1" s="957"/>
      <c r="H1" s="786"/>
      <c r="I1" s="790" t="s">
        <v>361</v>
      </c>
      <c r="J1" s="583"/>
      <c r="K1" s="582"/>
      <c r="L1" s="887" t="s">
        <v>13</v>
      </c>
      <c r="M1" s="963">
        <v>2569</v>
      </c>
      <c r="N1" s="582"/>
      <c r="O1" s="582"/>
      <c r="P1" s="582"/>
    </row>
    <row r="2" spans="1:16" ht="42" customHeight="1" x14ac:dyDescent="0.15">
      <c r="A2" s="787"/>
      <c r="B2" s="958" t="s">
        <v>10</v>
      </c>
      <c r="C2" s="958"/>
      <c r="D2" s="958"/>
      <c r="E2" s="958"/>
      <c r="F2" s="958"/>
      <c r="G2" s="958"/>
      <c r="H2" s="788"/>
      <c r="I2" s="789">
        <f>M4</f>
        <v>0.75</v>
      </c>
      <c r="J2" s="583"/>
      <c r="K2" s="582"/>
      <c r="L2" s="887"/>
      <c r="M2" s="963"/>
      <c r="N2" s="582"/>
      <c r="O2" s="582"/>
      <c r="P2" s="582"/>
    </row>
    <row r="3" spans="1:16" ht="48" customHeight="1" x14ac:dyDescent="0.15">
      <c r="A3" s="246" t="s">
        <v>154</v>
      </c>
      <c r="B3" s="965">
        <v>3000000</v>
      </c>
      <c r="C3" s="966"/>
      <c r="D3" s="966"/>
      <c r="E3" s="966"/>
      <c r="F3" s="967"/>
      <c r="G3" s="126" t="s">
        <v>2</v>
      </c>
      <c r="H3" s="126" t="s">
        <v>274</v>
      </c>
      <c r="I3" s="556">
        <v>0.75</v>
      </c>
      <c r="J3" s="583"/>
      <c r="K3" s="582"/>
      <c r="L3" s="364" t="s">
        <v>179</v>
      </c>
      <c r="M3" s="252" t="str">
        <f>COM!$B$1</f>
        <v>สุพรีม ไลฟ์  โพรเทคเตอร์ A90/20</v>
      </c>
      <c r="N3" s="964"/>
      <c r="O3" s="956" t="str">
        <f>COM!E1</f>
        <v>20SLPA</v>
      </c>
      <c r="P3" s="956"/>
    </row>
    <row r="4" spans="1:16" ht="48" customHeight="1" x14ac:dyDescent="0.15">
      <c r="A4" s="542" t="s">
        <v>175</v>
      </c>
      <c r="B4" s="543" t="s">
        <v>150</v>
      </c>
      <c r="C4" s="543">
        <f>M1</f>
        <v>2569</v>
      </c>
      <c r="D4" s="543">
        <f>C4+1</f>
        <v>2570</v>
      </c>
      <c r="E4" s="543">
        <f t="shared" ref="E4:H4" si="0">D4+1</f>
        <v>2571</v>
      </c>
      <c r="F4" s="543">
        <f t="shared" si="0"/>
        <v>2572</v>
      </c>
      <c r="G4" s="543">
        <f t="shared" si="0"/>
        <v>2573</v>
      </c>
      <c r="H4" s="543">
        <f t="shared" si="0"/>
        <v>2574</v>
      </c>
      <c r="I4" s="544" t="s">
        <v>61</v>
      </c>
      <c r="J4" s="583"/>
      <c r="K4" s="582"/>
      <c r="L4" s="364" t="s">
        <v>361</v>
      </c>
      <c r="M4" s="634">
        <f>COM!F1</f>
        <v>0.75</v>
      </c>
      <c r="N4" s="964"/>
      <c r="O4" s="956"/>
      <c r="P4" s="956"/>
    </row>
    <row r="5" spans="1:16" ht="42" customHeight="1" x14ac:dyDescent="0.15">
      <c r="A5" s="546" t="s">
        <v>309</v>
      </c>
      <c r="B5" s="545">
        <f>IF($N$5="Auto",COM!$B2,IF($N$5="Manual",M5,0))</f>
        <v>0.4</v>
      </c>
      <c r="C5" s="548">
        <f>$B$3*B5</f>
        <v>1200000</v>
      </c>
      <c r="D5" s="548"/>
      <c r="E5" s="548"/>
      <c r="F5" s="548"/>
      <c r="G5" s="548"/>
      <c r="H5" s="588"/>
      <c r="I5" s="549">
        <f t="shared" ref="I5:I11" si="1">SUM(C5:H5)</f>
        <v>1200000</v>
      </c>
      <c r="J5" s="583"/>
      <c r="K5" s="582"/>
      <c r="L5" s="557" t="s">
        <v>181</v>
      </c>
      <c r="M5" s="265">
        <v>0.18</v>
      </c>
      <c r="N5" s="961" t="s">
        <v>182</v>
      </c>
      <c r="O5" s="582"/>
      <c r="P5" s="582"/>
    </row>
    <row r="6" spans="1:16" ht="42" customHeight="1" x14ac:dyDescent="0.15">
      <c r="A6" s="546" t="s">
        <v>273</v>
      </c>
      <c r="B6" s="545">
        <f>IF($N$5="Auto",COM!$B3,IF($N$5="Manual",M6,0))</f>
        <v>0.16</v>
      </c>
      <c r="C6" s="550"/>
      <c r="D6" s="550">
        <f>$B$3*B6</f>
        <v>480000</v>
      </c>
      <c r="E6" s="550"/>
      <c r="F6" s="550"/>
      <c r="G6" s="550"/>
      <c r="H6" s="589"/>
      <c r="I6" s="551">
        <f t="shared" si="1"/>
        <v>480000</v>
      </c>
      <c r="J6" s="583"/>
      <c r="K6" s="582"/>
      <c r="L6" s="557" t="s">
        <v>183</v>
      </c>
      <c r="M6" s="265">
        <v>0.08</v>
      </c>
      <c r="N6" s="961"/>
      <c r="O6" s="582"/>
      <c r="P6" s="582"/>
    </row>
    <row r="7" spans="1:16" ht="42" customHeight="1" x14ac:dyDescent="0.15">
      <c r="A7" s="546" t="s">
        <v>57</v>
      </c>
      <c r="B7" s="545">
        <f>IF($N$5="Auto",COM!$B4,IF($N$5="Manual",M7,0))</f>
        <v>0.1</v>
      </c>
      <c r="C7" s="552"/>
      <c r="D7" s="552"/>
      <c r="E7" s="552">
        <f>$B$3*B7</f>
        <v>300000</v>
      </c>
      <c r="F7" s="552"/>
      <c r="G7" s="552"/>
      <c r="H7" s="590"/>
      <c r="I7" s="553">
        <f t="shared" si="1"/>
        <v>300000</v>
      </c>
      <c r="J7" s="583"/>
      <c r="K7" s="582"/>
      <c r="L7" s="557" t="s">
        <v>184</v>
      </c>
      <c r="M7" s="265">
        <v>0.05</v>
      </c>
      <c r="N7" s="961"/>
      <c r="O7" s="582"/>
      <c r="P7" s="582"/>
    </row>
    <row r="8" spans="1:16" ht="42" customHeight="1" x14ac:dyDescent="0.15">
      <c r="A8" s="546" t="s">
        <v>58</v>
      </c>
      <c r="B8" s="545">
        <f>IF($N$5="Auto",COM!$B5,IF($N$5="Manual",M8,0))</f>
        <v>0.05</v>
      </c>
      <c r="C8" s="550"/>
      <c r="D8" s="550"/>
      <c r="E8" s="550"/>
      <c r="F8" s="550">
        <f>$B$3*B8</f>
        <v>150000</v>
      </c>
      <c r="G8" s="550"/>
      <c r="H8" s="589"/>
      <c r="I8" s="551">
        <f t="shared" si="1"/>
        <v>150000</v>
      </c>
      <c r="J8" s="583"/>
      <c r="K8" s="582"/>
      <c r="L8" s="557" t="s">
        <v>185</v>
      </c>
      <c r="M8" s="265">
        <v>2.5000000000000001E-2</v>
      </c>
      <c r="N8" s="961"/>
      <c r="O8" s="582"/>
      <c r="P8" s="582"/>
    </row>
    <row r="9" spans="1:16" ht="42" customHeight="1" x14ac:dyDescent="0.15">
      <c r="A9" s="546" t="s">
        <v>59</v>
      </c>
      <c r="B9" s="545">
        <f>IF($N$5="Auto",COM!$B6,IF($N$5="Manual",M9,0))</f>
        <v>0.05</v>
      </c>
      <c r="C9" s="552"/>
      <c r="D9" s="552"/>
      <c r="E9" s="552"/>
      <c r="F9" s="552"/>
      <c r="G9" s="552">
        <f>$B$3*B9</f>
        <v>150000</v>
      </c>
      <c r="H9" s="590"/>
      <c r="I9" s="553">
        <f t="shared" si="1"/>
        <v>150000</v>
      </c>
      <c r="J9" s="583"/>
      <c r="K9" s="582"/>
      <c r="L9" s="557" t="s">
        <v>186</v>
      </c>
      <c r="M9" s="265">
        <v>2.5000000000000001E-2</v>
      </c>
      <c r="N9" s="962"/>
      <c r="O9" s="582"/>
      <c r="P9" s="582"/>
    </row>
    <row r="10" spans="1:16" ht="42" customHeight="1" x14ac:dyDescent="0.15">
      <c r="A10" s="547" t="s">
        <v>287</v>
      </c>
      <c r="B10" s="545" t="str">
        <f>IF($I$3&lt;70%,0,
IF($C$5/12&gt;64000,"35%",
IF(AND($C$5/12&gt;32000,$C$5/12&lt;=64000),"30%",
IF(AND($C$5/12&gt;16000,$C$5/12&lt;=32000),"25%",
IF(AND($C$5/12&gt;8000,$C$5/12&lt;=16000),"20%",
0)))))</f>
        <v>35%</v>
      </c>
      <c r="C10" s="550">
        <f>B10*$M$4*C5</f>
        <v>314999.99999999994</v>
      </c>
      <c r="D10" s="550"/>
      <c r="E10" s="550"/>
      <c r="F10" s="550"/>
      <c r="G10" s="550"/>
      <c r="H10" s="589"/>
      <c r="I10" s="551">
        <f t="shared" si="1"/>
        <v>314999.99999999994</v>
      </c>
      <c r="J10" s="583"/>
      <c r="K10" s="582"/>
      <c r="L10" s="582"/>
      <c r="M10" s="582"/>
      <c r="N10" s="582"/>
      <c r="O10" s="582"/>
      <c r="P10" s="582"/>
    </row>
    <row r="11" spans="1:16" ht="42" customHeight="1" x14ac:dyDescent="0.15">
      <c r="A11" s="547" t="s">
        <v>288</v>
      </c>
      <c r="B11" s="545">
        <f>IF($C$5/2&gt;400000,"35%",
IF(AND($C$5/2&gt;300000,$C$5/2&lt;=400000),"32.5%",
IF(AND($C$5/2&gt;250000,$C$5/2&lt;=300000),"30%",
IF(AND($C$5/2&gt;200000,$C$5/2&lt;=250000),"27.5%",
IF(AND($C$5/2&gt;150000,$C$5/2&lt;=200000),"25%",
IF(AND($C$5/2&gt;100000,$C$5/2&lt;=150000),"22.5%",
IF(AND($C$5/2&gt;60000,$C$5/2&lt;=100000),"20%",
IF(AND($C$5/2&gt;40000,$C$5/2&lt;=60000),"17.5%",
1))))))))*(IF($I$3&lt;70%,0%,IF(AND($I$3&gt;=70%,$I$3&lt;85%),100%,IF($I$3&gt;=85%,110%,))))</f>
        <v>0.35</v>
      </c>
      <c r="C11" s="554">
        <f>C5*$M$4*B11</f>
        <v>315000</v>
      </c>
      <c r="D11" s="554"/>
      <c r="E11" s="554"/>
      <c r="F11" s="554"/>
      <c r="G11" s="554"/>
      <c r="H11" s="591"/>
      <c r="I11" s="555">
        <f t="shared" si="1"/>
        <v>315000</v>
      </c>
      <c r="J11" s="583"/>
      <c r="K11" s="582"/>
      <c r="L11" s="582"/>
      <c r="M11" s="582"/>
      <c r="N11" s="582"/>
      <c r="O11" s="582"/>
      <c r="P11" s="582"/>
    </row>
    <row r="12" spans="1:16" ht="42" customHeight="1" x14ac:dyDescent="0.15">
      <c r="A12" s="547" t="s">
        <v>291</v>
      </c>
      <c r="B12" s="545"/>
      <c r="C12" s="550"/>
      <c r="D12" s="550"/>
      <c r="E12" s="550">
        <f>IF(AND($C$5*$M$4&gt;=200000,$I$3&gt;=85%),SUM(D6:D9)*$I$3*$I$2*110%,IF(AND($C$5*$M$4&gt;=100000,$I$3&gt;=75%),SUM(D6:D9)*$I$3*$I$2*100%,0))</f>
        <v>270000</v>
      </c>
      <c r="F12" s="550">
        <f>IF(AND($C$5*$M$4&gt;=200000,$I$3&gt;=85%),SUM(E6:E9)*$I$3*$I$2*110%,IF(AND($C$5*$M$4&gt;=100000,$I$3&gt;=75%),SUM(E6:E9)*$I$3*$I$2*100%,0))</f>
        <v>168750</v>
      </c>
      <c r="G12" s="550">
        <f>IF(AND($C$5*$M$4&gt;=200000,$I$3&gt;=85%),SUM(F6:F9)*$I$3*$I$2*110%,IF(AND($C$5*$M$4&gt;=100000,$I$3&gt;=75%),SUM(F6:F9)*$I$3*$I$2*100%,0))</f>
        <v>84375</v>
      </c>
      <c r="H12" s="550">
        <f>IF(AND($C$5*$M$4&gt;=200000,$I$3&gt;=85%),SUM(G6:G9)*$I$3*$I$2*110%,IF(AND($C$5*$M$4&gt;=100000,$I$3&gt;=75%),SUM(G6:G9)*$I$3*$I$2*100%,0))</f>
        <v>84375</v>
      </c>
      <c r="I12" s="551">
        <f>SUM(C12:H12)</f>
        <v>607500</v>
      </c>
      <c r="J12" s="583"/>
      <c r="K12" s="582"/>
      <c r="L12" s="582"/>
      <c r="M12" s="582"/>
      <c r="N12" s="582"/>
      <c r="O12" s="582"/>
      <c r="P12" s="582"/>
    </row>
    <row r="13" spans="1:16" ht="42" customHeight="1" x14ac:dyDescent="0.15">
      <c r="A13" s="547" t="s">
        <v>292</v>
      </c>
      <c r="B13" s="545" t="str">
        <f>M13*3&amp;" ราย/3ด."</f>
        <v>15 ราย/3ด.</v>
      </c>
      <c r="C13" s="554">
        <f>IF(AND(M13*3&gt;=5,$C$5*$M$4/4&gt;=50000),15000,IF(AND(M13*3&gt;=3,$C$5*$M$4/4&gt;=20000),6000,0))+IF(AND(M13*3&gt;=10,$C$5*$M$4/4&gt;=100000),25000,IF(AND(M13*3&gt;=5,$C$5*$M$4/4&gt;=40000),10000,0))</f>
        <v>40000</v>
      </c>
      <c r="D13" s="554"/>
      <c r="E13" s="554"/>
      <c r="F13" s="554"/>
      <c r="G13" s="554"/>
      <c r="H13" s="591"/>
      <c r="I13" s="555">
        <f t="shared" ref="I13:I14" si="2">SUM(C13:H13)</f>
        <v>40000</v>
      </c>
      <c r="J13" s="583"/>
      <c r="K13" s="582"/>
      <c r="L13" s="364" t="s">
        <v>294</v>
      </c>
      <c r="M13" s="262">
        <v>5</v>
      </c>
      <c r="N13" s="582"/>
      <c r="O13" s="582"/>
      <c r="P13" s="582"/>
    </row>
    <row r="14" spans="1:16" ht="42" customHeight="1" x14ac:dyDescent="0.15">
      <c r="A14" s="547" t="s">
        <v>293</v>
      </c>
      <c r="B14" s="545">
        <v>0.05</v>
      </c>
      <c r="C14" s="624">
        <f>$C$5*$M$4*$B$14</f>
        <v>45000</v>
      </c>
      <c r="D14" s="624"/>
      <c r="E14" s="624"/>
      <c r="F14" s="624"/>
      <c r="G14" s="624"/>
      <c r="H14" s="625"/>
      <c r="I14" s="626">
        <f t="shared" si="2"/>
        <v>45000</v>
      </c>
      <c r="J14" s="583"/>
      <c r="K14" s="582"/>
      <c r="L14" s="582"/>
      <c r="M14" s="582"/>
      <c r="N14" s="582"/>
      <c r="O14" s="582"/>
      <c r="P14" s="582"/>
    </row>
    <row r="15" spans="1:16" ht="48" customHeight="1" thickBot="1" x14ac:dyDescent="0.2">
      <c r="A15" s="959" t="s">
        <v>61</v>
      </c>
      <c r="B15" s="960"/>
      <c r="C15" s="247">
        <f>SUM(C5:C14)</f>
        <v>1915000</v>
      </c>
      <c r="D15" s="247">
        <f t="shared" ref="D15:G15" si="3">SUM(D5:D14)</f>
        <v>480000</v>
      </c>
      <c r="E15" s="247">
        <f t="shared" si="3"/>
        <v>570000</v>
      </c>
      <c r="F15" s="247">
        <f t="shared" si="3"/>
        <v>318750</v>
      </c>
      <c r="G15" s="247">
        <f t="shared" si="3"/>
        <v>234375</v>
      </c>
      <c r="H15" s="247">
        <f>SUM(H5:H14)</f>
        <v>84375</v>
      </c>
      <c r="I15" s="248">
        <f>SUM(C15:H15)</f>
        <v>3602500</v>
      </c>
      <c r="J15" s="583"/>
      <c r="K15" s="582"/>
      <c r="L15" s="582"/>
      <c r="M15" s="582"/>
      <c r="N15" s="582"/>
      <c r="O15" s="582"/>
      <c r="P15" s="582"/>
    </row>
    <row r="16" spans="1:16" ht="24.6" customHeight="1" x14ac:dyDescent="0.15">
      <c r="A16" s="584"/>
      <c r="B16" s="585"/>
      <c r="C16" s="585"/>
      <c r="D16" s="585"/>
      <c r="E16" s="585"/>
      <c r="F16" s="585"/>
      <c r="G16" s="585"/>
      <c r="H16" s="585"/>
      <c r="I16" s="585"/>
      <c r="J16" s="583"/>
      <c r="K16" s="583"/>
      <c r="L16" s="583"/>
      <c r="M16" s="583"/>
      <c r="N16" s="583"/>
      <c r="O16" s="583"/>
      <c r="P16" s="583"/>
    </row>
    <row r="17" spans="1:16" x14ac:dyDescent="0.15">
      <c r="A17" s="583"/>
      <c r="B17" s="583"/>
      <c r="C17" s="583"/>
      <c r="D17" s="583"/>
      <c r="E17" s="583"/>
      <c r="F17" s="583"/>
      <c r="G17" s="583"/>
      <c r="H17" s="583"/>
      <c r="I17" s="583"/>
      <c r="J17" s="583"/>
      <c r="K17" s="583"/>
      <c r="L17" s="583"/>
      <c r="M17" s="583"/>
      <c r="N17" s="583"/>
      <c r="O17" s="583"/>
      <c r="P17" s="583"/>
    </row>
    <row r="18" spans="1:16" x14ac:dyDescent="0.15">
      <c r="A18" s="583"/>
      <c r="B18" s="586"/>
      <c r="C18" s="586"/>
      <c r="D18" s="586"/>
      <c r="E18" s="586"/>
      <c r="F18" s="586"/>
      <c r="G18" s="586"/>
      <c r="H18" s="586"/>
      <c r="I18" s="586"/>
      <c r="J18" s="583"/>
      <c r="K18" s="583"/>
      <c r="L18" s="583"/>
      <c r="M18" s="583"/>
      <c r="N18" s="583"/>
      <c r="O18" s="583"/>
      <c r="P18" s="583"/>
    </row>
  </sheetData>
  <sheetProtection algorithmName="SHA-512" hashValue="4VJsfoA/cLf3a1hOKykKa6c704yVbuz6cmbIKJHn3JYiVdfasZf9vakThN9BdrZukrZEosokCn3p096+1p3rWw==" saltValue="Bph71/6II8+4KZ4825xJig==" spinCount="100000" sheet="1" objects="1" scenarios="1" selectLockedCells="1"/>
  <customSheetViews>
    <customSheetView guid="{82B311FB-57F0-41B4-A7C3-5882014D86A1}" scale="80">
      <selection activeCell="M13" sqref="M13"/>
      <pageMargins left="0.19685039370078741" right="0.19685039370078741" top="0.19685039370078741" bottom="0.19685039370078741" header="0" footer="0"/>
      <printOptions horizontalCentered="1"/>
      <pageSetup paperSize="9" scale="85" orientation="landscape" r:id="rId1"/>
    </customSheetView>
    <customSheetView guid="{00AC2CC8-9B9F-4979-A039-643E7B67D066}" scale="80">
      <selection activeCell="L1" sqref="L1"/>
      <pageMargins left="0" right="0" top="0.78740157480314965" bottom="0.39370078740157483" header="0" footer="0"/>
      <printOptions horizontalCentered="1"/>
      <pageSetup scale="80" orientation="landscape" r:id="rId2"/>
    </customSheetView>
  </customSheetViews>
  <mergeCells count="9">
    <mergeCell ref="O3:P4"/>
    <mergeCell ref="B1:G1"/>
    <mergeCell ref="B2:G2"/>
    <mergeCell ref="A15:B15"/>
    <mergeCell ref="N5:N9"/>
    <mergeCell ref="L1:L2"/>
    <mergeCell ref="M1:M2"/>
    <mergeCell ref="N3:N4"/>
    <mergeCell ref="B3:F3"/>
  </mergeCells>
  <phoneticPr fontId="3" type="noConversion"/>
  <dataValidations count="1">
    <dataValidation type="list" allowBlank="1" showInputMessage="1" showErrorMessage="1" sqref="N5:N9" xr:uid="{DABFF785-03AD-4541-A924-27CD8F123397}">
      <formula1>"Auto,Manual"</formula1>
    </dataValidation>
  </dataValidations>
  <printOptions horizontalCentered="1"/>
  <pageMargins left="0.19685039370078741" right="0.19685039370078741" top="0.19685039370078741" bottom="0.19685039370078741" header="0" footer="0"/>
  <pageSetup paperSize="9" scale="85" orientation="landscape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5587" r:id="rId6" name="Spinner 3">
              <controlPr defaultSize="0" autoPict="0">
                <anchor moveWithCells="1" sizeWithCells="1">
                  <from>
                    <xdr:col>13</xdr:col>
                    <xdr:colOff>15240</xdr:colOff>
                    <xdr:row>2</xdr:row>
                    <xdr:rowOff>7620</xdr:rowOff>
                  </from>
                  <to>
                    <xdr:col>13</xdr:col>
                    <xdr:colOff>845820</xdr:colOff>
                    <xdr:row>3</xdr:row>
                    <xdr:rowOff>601980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tabColor rgb="FF0070C0"/>
    <pageSetUpPr fitToPage="1"/>
  </sheetPr>
  <dimension ref="A1:BH69"/>
  <sheetViews>
    <sheetView topLeftCell="A11" zoomScale="70" zoomScaleNormal="70" workbookViewId="0">
      <selection activeCell="P26" sqref="P26"/>
    </sheetView>
  </sheetViews>
  <sheetFormatPr defaultColWidth="9.16796875" defaultRowHeight="29.25" x14ac:dyDescent="0.15"/>
  <cols>
    <col min="1" max="1" width="4.71875" style="1" customWidth="1"/>
    <col min="2" max="2" width="9.9765625" style="1" customWidth="1"/>
    <col min="3" max="3" width="21.171875" style="1" customWidth="1"/>
    <col min="4" max="5" width="13.34765625" style="1" customWidth="1"/>
    <col min="6" max="6" width="14.42578125" style="1" customWidth="1"/>
    <col min="7" max="7" width="11.0546875" style="1" customWidth="1"/>
    <col min="8" max="8" width="18.87890625" style="1" customWidth="1"/>
    <col min="9" max="9" width="11.0546875" style="1" customWidth="1"/>
    <col min="10" max="10" width="18.87890625" style="1" customWidth="1"/>
    <col min="11" max="11" width="11.0546875" style="1" customWidth="1"/>
    <col min="12" max="12" width="18.87890625" style="1" customWidth="1"/>
    <col min="13" max="13" width="4.04296875" style="1" customWidth="1"/>
    <col min="14" max="14" width="5.390625" style="1" customWidth="1"/>
    <col min="15" max="15" width="29.66796875" style="1" customWidth="1"/>
    <col min="16" max="18" width="12.13671875" style="1" customWidth="1"/>
    <col min="19" max="23" width="9.16796875" style="1"/>
    <col min="24" max="24" width="10.921875" style="1" customWidth="1"/>
    <col min="25" max="26" width="9.16796875" style="1" customWidth="1"/>
    <col min="27" max="27" width="12.26953125" style="1" hidden="1" customWidth="1"/>
    <col min="28" max="28" width="14.15625" style="1" hidden="1" customWidth="1"/>
    <col min="29" max="30" width="11.19140625" style="1" hidden="1" customWidth="1"/>
    <col min="31" max="31" width="5.66015625" style="1" hidden="1" customWidth="1"/>
    <col min="32" max="32" width="13.34765625" style="1" hidden="1" customWidth="1"/>
    <col min="33" max="34" width="18.7421875" style="1" hidden="1" customWidth="1"/>
    <col min="35" max="35" width="16.046875" style="1" hidden="1" customWidth="1"/>
    <col min="36" max="36" width="14.42578125" style="1" hidden="1" customWidth="1"/>
    <col min="37" max="37" width="21.7109375" style="1" hidden="1" customWidth="1"/>
    <col min="38" max="38" width="100.0625" style="1" hidden="1" customWidth="1"/>
    <col min="39" max="39" width="8.4921875" style="1" hidden="1" customWidth="1"/>
    <col min="40" max="40" width="14.29296875" style="114" hidden="1" customWidth="1"/>
    <col min="41" max="41" width="12" style="1" hidden="1" customWidth="1"/>
    <col min="42" max="42" width="13.34765625" style="1" hidden="1" customWidth="1"/>
    <col min="43" max="43" width="18.33984375" style="1" hidden="1" customWidth="1"/>
    <col min="44" max="44" width="16.5859375" style="1" hidden="1" customWidth="1"/>
    <col min="45" max="45" width="15.91015625" style="1" hidden="1" customWidth="1"/>
    <col min="46" max="46" width="18.47265625" style="1" hidden="1" customWidth="1"/>
    <col min="47" max="47" width="21.7109375" style="1" hidden="1" customWidth="1"/>
    <col min="48" max="48" width="100.0625" style="1" hidden="1" customWidth="1"/>
    <col min="49" max="49" width="9.16796875" style="1" hidden="1" customWidth="1"/>
    <col min="50" max="50" width="15.37109375" style="1" hidden="1" customWidth="1"/>
    <col min="51" max="51" width="0" style="1" hidden="1" customWidth="1"/>
    <col min="52" max="52" width="12.26953125" style="1" hidden="1" customWidth="1"/>
    <col min="53" max="53" width="17.6640625" style="1" hidden="1" customWidth="1"/>
    <col min="54" max="54" width="16.5859375" style="1" hidden="1" customWidth="1"/>
    <col min="55" max="55" width="13.078125" style="1" hidden="1" customWidth="1"/>
    <col min="56" max="56" width="16.5859375" style="1" hidden="1" customWidth="1"/>
    <col min="57" max="57" width="22.921875" style="1" hidden="1" customWidth="1"/>
    <col min="58" max="58" width="100.0625" style="1" hidden="1" customWidth="1"/>
    <col min="59" max="59" width="9.16796875" style="1" hidden="1" customWidth="1"/>
    <col min="60" max="60" width="17.93359375" style="1" hidden="1" customWidth="1"/>
    <col min="61" max="16384" width="9.16796875" style="1"/>
  </cols>
  <sheetData>
    <row r="1" spans="1:60" ht="18.75" customHeight="1" thickBot="1" x14ac:dyDescent="0.2">
      <c r="A1" s="103"/>
      <c r="B1" s="103"/>
      <c r="C1" s="104"/>
      <c r="D1" s="104"/>
      <c r="E1" s="104"/>
      <c r="F1" s="104"/>
      <c r="G1" s="803"/>
      <c r="H1" s="104"/>
      <c r="I1" s="803"/>
      <c r="J1" s="104"/>
      <c r="K1" s="803"/>
      <c r="L1" s="104"/>
      <c r="M1" s="103"/>
      <c r="N1" s="579"/>
      <c r="O1" s="579"/>
      <c r="P1" s="579"/>
      <c r="Q1" s="579"/>
      <c r="R1" s="579"/>
      <c r="S1" s="579"/>
      <c r="T1" s="579"/>
      <c r="U1" s="579"/>
      <c r="V1" s="579"/>
    </row>
    <row r="2" spans="1:60" ht="36.6" customHeight="1" x14ac:dyDescent="0.15">
      <c r="A2" s="103"/>
      <c r="B2" s="1028" t="s">
        <v>295</v>
      </c>
      <c r="C2" s="1029"/>
      <c r="D2" s="1029"/>
      <c r="E2" s="1029"/>
      <c r="F2" s="1029"/>
      <c r="G2" s="1029"/>
      <c r="H2" s="1029"/>
      <c r="I2" s="1029"/>
      <c r="J2" s="1029"/>
      <c r="K2" s="1029"/>
      <c r="L2" s="1030"/>
      <c r="M2" s="103"/>
      <c r="N2" s="579"/>
      <c r="O2" s="579"/>
      <c r="P2" s="579"/>
      <c r="Q2" s="579"/>
      <c r="R2" s="579"/>
      <c r="S2" s="579"/>
      <c r="T2" s="579"/>
      <c r="U2" s="579"/>
      <c r="V2" s="579"/>
      <c r="AA2" s="1015" t="s">
        <v>110</v>
      </c>
      <c r="AB2" s="1015"/>
      <c r="AC2" s="1015"/>
      <c r="AD2" s="1015"/>
      <c r="AF2" s="1041" t="s">
        <v>107</v>
      </c>
      <c r="AG2" s="1041"/>
      <c r="AH2" s="1041"/>
      <c r="AI2" s="1041"/>
      <c r="AJ2" s="1041"/>
      <c r="AK2" s="1041"/>
      <c r="AL2" s="1041"/>
      <c r="AP2" s="1041" t="s">
        <v>108</v>
      </c>
      <c r="AQ2" s="1041"/>
      <c r="AR2" s="1041"/>
      <c r="AS2" s="1041"/>
      <c r="AT2" s="1041"/>
      <c r="AU2" s="1041"/>
      <c r="AV2" s="1041"/>
      <c r="AZ2" s="1041" t="s">
        <v>147</v>
      </c>
      <c r="BA2" s="1041"/>
      <c r="BB2" s="1041"/>
      <c r="BC2" s="1041"/>
      <c r="BD2" s="1041"/>
      <c r="BE2" s="1041"/>
      <c r="BF2" s="1041"/>
    </row>
    <row r="3" spans="1:60" ht="36.6" customHeight="1" x14ac:dyDescent="0.15">
      <c r="A3" s="103"/>
      <c r="B3" s="1031"/>
      <c r="C3" s="1032"/>
      <c r="D3" s="1032"/>
      <c r="E3" s="1032"/>
      <c r="F3" s="1032"/>
      <c r="G3" s="1032"/>
      <c r="H3" s="1032"/>
      <c r="I3" s="1032"/>
      <c r="J3" s="1032"/>
      <c r="K3" s="1032"/>
      <c r="L3" s="1033"/>
      <c r="M3" s="103"/>
      <c r="N3" s="579"/>
      <c r="O3" s="579"/>
      <c r="P3" s="579"/>
      <c r="Q3" s="579"/>
      <c r="R3" s="579"/>
      <c r="S3" s="580"/>
      <c r="T3" s="580"/>
      <c r="U3" s="580"/>
      <c r="V3" s="579"/>
      <c r="AA3" s="108" t="s">
        <v>119</v>
      </c>
      <c r="AB3" s="109">
        <v>5000</v>
      </c>
      <c r="AC3" s="109">
        <v>10000</v>
      </c>
      <c r="AD3" s="109">
        <v>20000</v>
      </c>
      <c r="AF3" s="1042" t="s">
        <v>120</v>
      </c>
      <c r="AG3" s="1042"/>
      <c r="AH3" s="1042"/>
      <c r="AI3" s="1042"/>
      <c r="AJ3" s="1042"/>
      <c r="AK3" s="1042"/>
      <c r="AL3" s="1042"/>
      <c r="AP3" s="1042" t="s">
        <v>120</v>
      </c>
      <c r="AQ3" s="1042"/>
      <c r="AR3" s="1042"/>
      <c r="AS3" s="1042"/>
      <c r="AT3" s="1042"/>
      <c r="AU3" s="1042"/>
      <c r="AV3" s="1042"/>
      <c r="AZ3" s="1042" t="s">
        <v>120</v>
      </c>
      <c r="BA3" s="1042"/>
      <c r="BB3" s="1042"/>
      <c r="BC3" s="1042"/>
      <c r="BD3" s="1042"/>
      <c r="BE3" s="1042"/>
      <c r="BF3" s="1042"/>
    </row>
    <row r="4" spans="1:60" ht="42.6" customHeight="1" x14ac:dyDescent="0.15">
      <c r="A4" s="103"/>
      <c r="B4" s="1054" t="s">
        <v>10</v>
      </c>
      <c r="C4" s="1055"/>
      <c r="D4" s="1055"/>
      <c r="E4" s="1055"/>
      <c r="F4" s="1055"/>
      <c r="G4" s="1055"/>
      <c r="H4" s="1055"/>
      <c r="I4" s="1055"/>
      <c r="J4" s="1055"/>
      <c r="K4" s="1055"/>
      <c r="L4" s="1056"/>
      <c r="M4" s="103"/>
      <c r="N4" s="579"/>
      <c r="O4" s="571" t="s">
        <v>361</v>
      </c>
      <c r="P4" s="802">
        <v>0.75</v>
      </c>
      <c r="Q4" s="802">
        <v>0.75</v>
      </c>
      <c r="R4" s="802">
        <v>1</v>
      </c>
      <c r="S4" s="580"/>
      <c r="T4" s="580"/>
      <c r="U4" s="580"/>
      <c r="V4" s="579"/>
      <c r="AA4" s="107" t="s">
        <v>112</v>
      </c>
      <c r="AB4" s="107" t="s">
        <v>118</v>
      </c>
      <c r="AC4" s="107" t="s">
        <v>116</v>
      </c>
      <c r="AD4" s="107" t="s">
        <v>117</v>
      </c>
      <c r="AF4" s="111" t="s">
        <v>121</v>
      </c>
      <c r="AG4" s="111" t="s">
        <v>122</v>
      </c>
      <c r="AH4" s="111" t="s">
        <v>124</v>
      </c>
      <c r="AI4" s="111" t="s">
        <v>125</v>
      </c>
      <c r="AJ4" s="1043" t="s">
        <v>126</v>
      </c>
      <c r="AK4" s="1043" t="s">
        <v>127</v>
      </c>
      <c r="AL4" s="1043" t="s">
        <v>128</v>
      </c>
      <c r="AP4" s="111" t="s">
        <v>121</v>
      </c>
      <c r="AQ4" s="111" t="s">
        <v>122</v>
      </c>
      <c r="AR4" s="111" t="s">
        <v>124</v>
      </c>
      <c r="AS4" s="111" t="s">
        <v>125</v>
      </c>
      <c r="AT4" s="1043" t="s">
        <v>126</v>
      </c>
      <c r="AU4" s="1043" t="s">
        <v>127</v>
      </c>
      <c r="AV4" s="1043" t="s">
        <v>128</v>
      </c>
      <c r="AZ4" s="111" t="s">
        <v>121</v>
      </c>
      <c r="BA4" s="111" t="s">
        <v>122</v>
      </c>
      <c r="BB4" s="111" t="s">
        <v>124</v>
      </c>
      <c r="BC4" s="111" t="s">
        <v>125</v>
      </c>
      <c r="BD4" s="1043" t="s">
        <v>126</v>
      </c>
      <c r="BE4" s="1043" t="s">
        <v>127</v>
      </c>
      <c r="BF4" s="1043" t="s">
        <v>128</v>
      </c>
    </row>
    <row r="5" spans="1:60" ht="39" customHeight="1" x14ac:dyDescent="0.15">
      <c r="A5" s="103"/>
      <c r="B5" s="804" t="s">
        <v>23</v>
      </c>
      <c r="C5" s="122">
        <f>P5</f>
        <v>3000000</v>
      </c>
      <c r="D5" s="123" t="s">
        <v>296</v>
      </c>
      <c r="E5" s="1057" t="s">
        <v>111</v>
      </c>
      <c r="F5" s="1058"/>
      <c r="G5" s="1022">
        <f>SUM(H6:H10)</f>
        <v>2280000</v>
      </c>
      <c r="H5" s="1023"/>
      <c r="I5" s="1022">
        <f t="shared" ref="I5" si="0">SUM(J6:J10)</f>
        <v>2100000</v>
      </c>
      <c r="J5" s="1023"/>
      <c r="K5" s="1022">
        <f>SUM(L6:L10)</f>
        <v>1650000</v>
      </c>
      <c r="L5" s="1024"/>
      <c r="M5" s="103"/>
      <c r="N5" s="579"/>
      <c r="O5" s="571" t="s">
        <v>23</v>
      </c>
      <c r="P5" s="1025">
        <v>3000000</v>
      </c>
      <c r="Q5" s="1026"/>
      <c r="R5" s="1027"/>
      <c r="S5" s="580"/>
      <c r="T5" s="580"/>
      <c r="U5" s="580"/>
      <c r="V5" s="579"/>
      <c r="AA5" s="106" t="s">
        <v>115</v>
      </c>
      <c r="AB5" s="115">
        <v>3000</v>
      </c>
      <c r="AC5" s="115"/>
      <c r="AD5" s="115"/>
      <c r="AF5" s="112" t="s">
        <v>112</v>
      </c>
      <c r="AG5" s="112" t="s">
        <v>123</v>
      </c>
      <c r="AH5" s="112" t="s">
        <v>138</v>
      </c>
      <c r="AI5" s="112" t="s">
        <v>139</v>
      </c>
      <c r="AJ5" s="1044"/>
      <c r="AK5" s="1044"/>
      <c r="AL5" s="1044"/>
      <c r="AP5" s="112" t="s">
        <v>112</v>
      </c>
      <c r="AQ5" s="112" t="s">
        <v>123</v>
      </c>
      <c r="AR5" s="112" t="s">
        <v>138</v>
      </c>
      <c r="AS5" s="112" t="s">
        <v>139</v>
      </c>
      <c r="AT5" s="1044"/>
      <c r="AU5" s="1044"/>
      <c r="AV5" s="1044"/>
      <c r="AZ5" s="112" t="s">
        <v>112</v>
      </c>
      <c r="BA5" s="112" t="s">
        <v>123</v>
      </c>
      <c r="BB5" s="112" t="s">
        <v>138</v>
      </c>
      <c r="BC5" s="112" t="s">
        <v>139</v>
      </c>
      <c r="BD5" s="1044"/>
      <c r="BE5" s="1044"/>
      <c r="BF5" s="1044"/>
    </row>
    <row r="6" spans="1:60" ht="39" customHeight="1" x14ac:dyDescent="0.15">
      <c r="A6" s="103"/>
      <c r="B6" s="1059">
        <v>1</v>
      </c>
      <c r="C6" s="1034" t="s">
        <v>309</v>
      </c>
      <c r="D6" s="1034"/>
      <c r="E6" s="1034"/>
      <c r="F6" s="1034"/>
      <c r="G6" s="806">
        <f>P6</f>
        <v>0.4</v>
      </c>
      <c r="H6" s="807">
        <f>$C$5*G6</f>
        <v>1200000</v>
      </c>
      <c r="I6" s="806">
        <f>Q6</f>
        <v>0.38</v>
      </c>
      <c r="J6" s="807">
        <f t="shared" ref="J6:J10" si="1">$C$5*I6</f>
        <v>1140000</v>
      </c>
      <c r="K6" s="806">
        <f>R6</f>
        <v>0.3</v>
      </c>
      <c r="L6" s="808">
        <f>$C$5*K6</f>
        <v>900000</v>
      </c>
      <c r="M6" s="103"/>
      <c r="N6" s="579"/>
      <c r="O6" s="571" t="s">
        <v>151</v>
      </c>
      <c r="P6" s="572">
        <v>0.4</v>
      </c>
      <c r="Q6" s="574">
        <v>0.38</v>
      </c>
      <c r="R6" s="576">
        <v>0.3</v>
      </c>
      <c r="S6" s="580"/>
      <c r="T6" s="580"/>
      <c r="U6" s="580"/>
      <c r="V6" s="579"/>
      <c r="X6" s="120"/>
      <c r="AA6" s="106" t="s">
        <v>113</v>
      </c>
      <c r="AB6" s="116">
        <v>2250</v>
      </c>
      <c r="AC6" s="116">
        <v>4500</v>
      </c>
      <c r="AD6" s="116">
        <v>10000</v>
      </c>
      <c r="AF6" s="110" t="s">
        <v>129</v>
      </c>
      <c r="AG6" s="118">
        <f>$H$6</f>
        <v>1200000</v>
      </c>
      <c r="AH6" s="118">
        <v>0</v>
      </c>
      <c r="AI6" s="118">
        <f>AG6+AH6</f>
        <v>1200000</v>
      </c>
      <c r="AJ6" s="118" t="str">
        <f>IF(AND(AG6&gt;=$AD6*50%,AI6&gt;=$AD6),"Tier 2",IF(AND(AG6&gt;=$AC6*50%,AI6&gt;=$AC6),"Tier 1",0))</f>
        <v>Tier 2</v>
      </c>
      <c r="AK6" s="118">
        <f>IF(AJ6="Tier 2",20000,IF(AJ6="Tier 1",10000,IF(AND(OR(AF6="เดือนที่ 1",AF6="เดือนที่ 2"),AJ6=0,AG6&gt;=$AB6),5000,0)))</f>
        <v>20000</v>
      </c>
      <c r="AL6" s="113" t="str">
        <f>"ผลงานอนุมัติใหม่"&amp;IF(OR(AND(AJ6="Tier 1",AG6&gt;=$AC6),AND(AJ6="Tier 2",AG6&gt;=$AD6)),"ถึง 100%",IF(OR(AND(AJ6=0,AG6&gt;=$AC6*50%),AND(AJ6="Tier 1",AG6&gt;=$AC6*50%),AND(AJ6="Tier 2",AG6&gt;=$AD6*50%)),"ถึง 50%","ไม่ถึง 50%"))&amp;IF(AND(AJ6=0,OR(AF6="เดือนที่ 1",AF6="เดือนที่ 2"),AI6&gt;=$AC6*50%)," และ FYC รวมถึง "&amp;TEXT(AI6,"#,###")&amp;" เข้ากฎเกณฑ์ข้อ 4",IF(AND(AK6=0,AI6&gt;=$AC6,AI6&lt;$AD6)," แม้ว่า FYC รวมจะถึง "&amp;TEXT($AC6,"#,###")&amp;" บาท ของ Tier 1",IF(AND(AK6=0,AI6&gt;=$AC6,AI6&gt;=$AD6)," แม้ว่า FYC รวมจะถึง "&amp;TEXT($AD6,"#,###")&amp;" บาท ของ Tier 2",IF(AND(AJ6="Tier 1",AI6&gt;=$AC6,AI6&lt;$AD6)," ของ Tier 1 และ FYC รวมถึง "&amp;TEXT($AC6,"#,###")&amp;" บาท ของ Tier 1",IF(AND(AJ6="Tier 1",AI6&gt;=$AC6,AI6&gt;=$AD6)," ของ Tier 1 แม้ว่า FYC รวมจะมากกว่า "&amp;TEXT($AD6,"#,###")&amp;" บาท ของ Tier 2",IF(AND(AJ6="Tier 2",AI6&gt;=$AC6,AI6&gt;=$AD6)," ของ Tier 2 และ FYC รวมถึง "&amp;TEXT($AD6,"#,###")&amp;" บาท ของ Tier 2",""))))))</f>
        <v>ผลงานอนุมัติใหม่ถึง 100% ของ Tier 2 และ FYC รวมถึง 10,000 บาท ของ Tier 2</v>
      </c>
      <c r="AM6" s="110">
        <v>1</v>
      </c>
      <c r="AN6" s="119">
        <f>IF(AM6&lt;=$P$4,SUM($AK$6:AK6),0)</f>
        <v>0</v>
      </c>
      <c r="AP6" s="110" t="s">
        <v>129</v>
      </c>
      <c r="AQ6" s="118">
        <f>$J$6</f>
        <v>1140000</v>
      </c>
      <c r="AR6" s="118">
        <v>0</v>
      </c>
      <c r="AS6" s="118">
        <f>AQ6+AR6</f>
        <v>1140000</v>
      </c>
      <c r="AT6" s="118" t="str">
        <f>IF(AND(AQ6&gt;=$AD6*50%,AS6&gt;=$AD6),"Tier 2",IF(AND(AQ6&gt;=$AC6*50%,AS6&gt;=$AC6),"Tier 1",0))</f>
        <v>Tier 2</v>
      </c>
      <c r="AU6" s="118">
        <f>IF(AT6="Tier 2",20000,IF(AT6="Tier 1",10000,IF(AND(OR(AP6="เดือนที่ 1",AP6="เดือนที่ 2"),AT6=0,AQ6&gt;=$AB6),5000,0)))</f>
        <v>20000</v>
      </c>
      <c r="AV6" s="113" t="str">
        <f>"ผลงานอนุมัติใหม่"&amp;IF(OR(AND(AT6="Tier 1",AQ6&gt;=$AC6),AND(AT6="Tier 2",AQ6&gt;=$AD6)),"ถึง 100%",IF(OR(AND(AT6=0,AQ6&gt;=$AC6*50%),AND(AT6="Tier 1",AQ6&gt;=$AC6*50%),AND(AT6="Tier 2",AQ6&gt;=$AD6*50%)),"ถึง 50%","ไม่ถึง 50%"))&amp;IF(AND(AT6=0,OR(AP6="เดือนที่ 1",AP6="เดือนที่ 2"),AS6&gt;=$AC6*50%)," และ FYC รวมถึง "&amp;TEXT(AS6,"#,###")&amp;" เข้ากฎเกณฑ์ข้อ 4",IF(AND(AU6=0,AS6&gt;=$AC6,AS6&lt;$AD6)," แม้ว่า FYC รวมจะถึง "&amp;TEXT($AC6,"#,###")&amp;" บาท ของ Tier 1",IF(AND(AU6=0,AS6&gt;=$AC6,AS6&gt;=$AD6)," แม้ว่า FYC รวมจะถึง "&amp;TEXT($AD6,"#,###")&amp;" บาท ของ Tier 2",IF(AND(AT6="Tier 1",AS6&gt;=$AC6,AS6&lt;$AD6)," ของ Tier 1 และ FYC รวมถึง "&amp;TEXT($AC6,"#,###")&amp;" บาท ของ Tier 1",IF(AND(AT6="Tier 1",AS6&gt;=$AC6,AS6&gt;=$AD6)," ของ Tier 1 แม้ว่า FYC รวมจะมากกว่า "&amp;TEXT($AD6,"#,###")&amp;" บาท ของ Tier 2",IF(AND(AT6="Tier 2",AS6&gt;=$AC6,AS6&gt;=$AD6)," ของ Tier 2 และ FYC รวมถึง "&amp;TEXT($AD6,"#,###")&amp;" บาท ของ Tier 2",""))))))</f>
        <v>ผลงานอนุมัติใหม่ถึง 100% ของ Tier 2 และ FYC รวมถึง 10,000 บาท ของ Tier 2</v>
      </c>
      <c r="AW6" s="110">
        <v>1</v>
      </c>
      <c r="AX6" s="119">
        <f>IF(AW6&lt;=$P$4,SUM($AU$6:AU6),0)</f>
        <v>0</v>
      </c>
      <c r="AZ6" s="110" t="s">
        <v>129</v>
      </c>
      <c r="BA6" s="118">
        <f>$L$6</f>
        <v>900000</v>
      </c>
      <c r="BB6" s="118">
        <v>0</v>
      </c>
      <c r="BC6" s="118">
        <f>BA6+BB6</f>
        <v>900000</v>
      </c>
      <c r="BD6" s="118" t="str">
        <f>IF(AND(BA6&gt;=$AD6*50%,BC6&gt;=$AD6),"Tier 2",IF(AND(BA6&gt;=$AC6*50%,BC6&gt;=$AC6),"Tier 1",0))</f>
        <v>Tier 2</v>
      </c>
      <c r="BE6" s="118">
        <f>IF(BD6="Tier 2",20000,IF(BD6="Tier 1",10000,IF(AND(OR(AZ6="เดือนที่ 1",AZ6="เดือนที่ 2"),BD6=0,BA6&gt;=$AB6),5000,0)))</f>
        <v>20000</v>
      </c>
      <c r="BF6" s="113" t="str">
        <f>"ผลงานอนุมัติใหม่"&amp;IF(OR(AND(BD6="Tier 1",BA6&gt;=$AC6),AND(BD6="Tier 2",BA6&gt;=$AD6)),"ถึง 100%",IF(OR(AND(BD6=0,BA6&gt;=$AC6*50%),AND(BD6="Tier 1",BA6&gt;=$AC6*50%),AND(BD6="Tier 2",BA6&gt;=$AD6*50%)),"ถึง 50%","ไม่ถึง 50%"))&amp;IF(AND(BD6=0,OR(AZ6="เดือนที่ 1",AZ6="เดือนที่ 2"),BC6&gt;=$AC6*50%)," และ FYC รวมถึง "&amp;TEXT(BC6,"#,###")&amp;" เข้ากฎเกณฑ์ข้อ 4",IF(AND(BE6=0,BC6&gt;=$AC6,BC6&lt;$AD6)," แม้ว่า FYC รวมจะถึง "&amp;TEXT($AC6,"#,###")&amp;" บาท ของ Tier 1",IF(AND(BE6=0,BC6&gt;=$AC6,BC6&gt;=$AD6)," แม้ว่า FYC รวมจะถึง "&amp;TEXT($AD6,"#,###")&amp;" บาท ของ Tier 2",IF(AND(BD6="Tier 1",BC6&gt;=$AC6,BC6&lt;$AD6)," ของ Tier 1 และ FYC รวมถึง "&amp;TEXT($AC6,"#,###")&amp;" บาท ของ Tier 1",IF(AND(BD6="Tier 1",BC6&gt;=$AC6,BC6&gt;=$AD6)," ของ Tier 1 แม้ว่า FYC รวมจะมากกว่า "&amp;TEXT($AD6,"#,###")&amp;" บาท ของ Tier 2",IF(AND(BD6="Tier 2",BC6&gt;=$AC6,BC6&gt;=$AD6)," ของ Tier 2 และ FYC รวมถึง "&amp;TEXT($AD6,"#,###")&amp;" บาท ของ Tier 2",""))))))</f>
        <v>ผลงานอนุมัติใหม่ถึง 100% ของ Tier 2 และ FYC รวมถึง 10,000 บาท ของ Tier 2</v>
      </c>
      <c r="BG6" s="110">
        <v>1</v>
      </c>
      <c r="BH6" s="119">
        <f>IF(BG6&lt;=$P$4,SUM($BE$6:BE6),0)</f>
        <v>0</v>
      </c>
    </row>
    <row r="7" spans="1:60" ht="39" customHeight="1" x14ac:dyDescent="0.15">
      <c r="A7" s="103"/>
      <c r="B7" s="1059"/>
      <c r="C7" s="1034" t="s">
        <v>273</v>
      </c>
      <c r="D7" s="1034"/>
      <c r="E7" s="1034"/>
      <c r="F7" s="1034"/>
      <c r="G7" s="809">
        <f>P7</f>
        <v>0.16</v>
      </c>
      <c r="H7" s="810">
        <f>$C$5*G7</f>
        <v>480000</v>
      </c>
      <c r="I7" s="809">
        <f>Q7</f>
        <v>0.155</v>
      </c>
      <c r="J7" s="810">
        <f t="shared" si="1"/>
        <v>465000</v>
      </c>
      <c r="K7" s="809">
        <f>R7</f>
        <v>0.12</v>
      </c>
      <c r="L7" s="811">
        <f t="shared" ref="L7:L10" si="2">$C$5*K7</f>
        <v>360000</v>
      </c>
      <c r="M7" s="103"/>
      <c r="N7" s="579"/>
      <c r="O7" s="571" t="s">
        <v>57</v>
      </c>
      <c r="P7" s="572">
        <v>0.16</v>
      </c>
      <c r="Q7" s="574">
        <v>0.155</v>
      </c>
      <c r="R7" s="576">
        <v>0.12</v>
      </c>
      <c r="S7" s="580"/>
      <c r="T7" s="580"/>
      <c r="U7" s="580"/>
      <c r="V7" s="579"/>
      <c r="X7" s="120"/>
      <c r="AA7" s="106" t="s">
        <v>114</v>
      </c>
      <c r="AB7" s="115">
        <v>3000</v>
      </c>
      <c r="AC7" s="115">
        <v>6000</v>
      </c>
      <c r="AD7" s="115">
        <v>12000</v>
      </c>
      <c r="AF7" s="110" t="s">
        <v>130</v>
      </c>
      <c r="AG7" s="118">
        <f t="shared" ref="AG7:AG17" si="3">$H$6</f>
        <v>1200000</v>
      </c>
      <c r="AH7" s="118">
        <v>0</v>
      </c>
      <c r="AI7" s="118">
        <f t="shared" ref="AI7:AI17" si="4">AG7+AH7</f>
        <v>1200000</v>
      </c>
      <c r="AJ7" s="118" t="str">
        <f t="shared" ref="AJ7:AJ17" si="5">IF(AND(AG7&gt;=$AD7*50%,AI7&gt;=$AD7),"Tier 2",IF(AND(AG7&gt;=$AC7*50%,AI7&gt;=$AC7),"Tier 1",0))</f>
        <v>Tier 2</v>
      </c>
      <c r="AK7" s="118">
        <f t="shared" ref="AK7:AK17" si="6">IF(AJ7="Tier 2",20000,IF(AJ7="Tier 1",10000,IF(AND(OR(AF7="เดือนที่ 1",AF7="เดือนที่ 2"),AJ7=0,AG7&gt;=$AB7),5000,0)))</f>
        <v>20000</v>
      </c>
      <c r="AL7" s="113" t="str">
        <f t="shared" ref="AL7:AL17" si="7">"ผลงานอนุมัติใหม่"&amp;IF(OR(AND(AJ7="Tier 1",AG7&gt;=$AC7),AND(AJ7="Tier 2",AG7&gt;=$AD7)),"ถึง 100%",IF(OR(AND(AJ7=0,AG7&gt;=$AC7*50%),AND(AJ7="Tier 1",AG7&gt;=$AC7*50%),AND(AJ7="Tier 2",AG7&gt;=$AD7*50%)),"ถึง 50%","ไม่ถึง 50%"))&amp;IF(AND(AJ7=0,OR(AF7="เดือนที่ 1",AF7="เดือนที่ 2"),AI7&gt;=$AC7*50%)," และ FYC รวมถึง "&amp;TEXT(AI7,"#,###")&amp;" เข้ากฎเกณฑ์ข้อ 4",IF(AND(AK7=0,AI7&gt;=$AC7,AI7&lt;$AD7)," แม้ว่า FYC รวมจะถึง "&amp;TEXT($AC7,"#,###")&amp;" บาท ของ Tier 1",IF(AND(AK7=0,AI7&gt;=$AC7,AI7&gt;=$AD7)," แม้ว่า FYC รวมจะถึง "&amp;TEXT($AD7,"#,###")&amp;" บาท ของ Tier 2",IF(AND(AJ7="Tier 1",AI7&gt;=$AC7,AI7&lt;$AD7)," ของ Tier 1 และ FYC รวมถึง "&amp;TEXT($AC7,"#,###")&amp;" บาท ของ Tier 1",IF(AND(AJ7="Tier 1",AI7&gt;=$AC7,AI7&gt;=$AD7)," ของ Tier 1 แม้ว่า FYC รวมจะมากกว่า "&amp;TEXT($AD7,"#,###")&amp;" บาท ของ Tier 2",IF(AND(AJ7="Tier 2",AI7&gt;=$AC7,AI7&gt;=$AD7)," ของ Tier 2 และ FYC รวมถึง "&amp;TEXT($AD7,"#,###")&amp;" บาท ของ Tier 2",""))))))</f>
        <v>ผลงานอนุมัติใหม่ถึง 100% ของ Tier 2 และ FYC รวมถึง 12,000 บาท ของ Tier 2</v>
      </c>
      <c r="AM7" s="110">
        <v>2</v>
      </c>
      <c r="AN7" s="119">
        <f>IF(AM7&lt;=$P$4,SUM($AK$6:AK7),0)</f>
        <v>0</v>
      </c>
      <c r="AP7" s="110" t="s">
        <v>130</v>
      </c>
      <c r="AQ7" s="118">
        <f t="shared" ref="AQ7:AQ17" si="8">$J$6</f>
        <v>1140000</v>
      </c>
      <c r="AR7" s="118">
        <v>0</v>
      </c>
      <c r="AS7" s="118">
        <f t="shared" ref="AS7:AS17" si="9">AQ7+AR7</f>
        <v>1140000</v>
      </c>
      <c r="AT7" s="118" t="str">
        <f t="shared" ref="AT7:AT17" si="10">IF(AND(AQ7&gt;=$AD7*50%,AS7&gt;=$AD7),"Tier 2",IF(AND(AQ7&gt;=$AC7*50%,AS7&gt;=$AC7),"Tier 1",0))</f>
        <v>Tier 2</v>
      </c>
      <c r="AU7" s="118">
        <f t="shared" ref="AU7:AU17" si="11">IF(AT7="Tier 2",20000,IF(AT7="Tier 1",10000,IF(AND(OR(AP7="เดือนที่ 1",AP7="เดือนที่ 2"),AT7=0,AQ7&gt;=$AB7),5000,0)))</f>
        <v>20000</v>
      </c>
      <c r="AV7" s="113" t="str">
        <f t="shared" ref="AV7:AV17" si="12">"ผลงานอนุมัติใหม่"&amp;IF(OR(AND(AT7="Tier 1",AQ7&gt;=$AC7),AND(AT7="Tier 2",AQ7&gt;=$AD7)),"ถึง 100%",IF(OR(AND(AT7=0,AQ7&gt;=$AC7*50%),AND(AT7="Tier 1",AQ7&gt;=$AC7*50%),AND(AT7="Tier 2",AQ7&gt;=$AD7*50%)),"ถึง 50%","ไม่ถึง 50%"))&amp;IF(AND(AT7=0,OR(AP7="เดือนที่ 1",AP7="เดือนที่ 2"),AS7&gt;=$AC7*50%)," และ FYC รวมถึง "&amp;TEXT(AS7,"#,###")&amp;" เข้ากฎเกณฑ์ข้อ 4",IF(AND(AU7=0,AS7&gt;=$AC7,AS7&lt;$AD7)," แม้ว่า FYC รวมจะถึง "&amp;TEXT($AC7,"#,###")&amp;" บาท ของ Tier 1",IF(AND(AU7=0,AS7&gt;=$AC7,AS7&gt;=$AD7)," แม้ว่า FYC รวมจะถึง "&amp;TEXT($AD7,"#,###")&amp;" บาท ของ Tier 2",IF(AND(AT7="Tier 1",AS7&gt;=$AC7,AS7&lt;$AD7)," ของ Tier 1 และ FYC รวมถึง "&amp;TEXT($AC7,"#,###")&amp;" บาท ของ Tier 1",IF(AND(AT7="Tier 1",AS7&gt;=$AC7,AS7&gt;=$AD7)," ของ Tier 1 แม้ว่า FYC รวมจะมากกว่า "&amp;TEXT($AD7,"#,###")&amp;" บาท ของ Tier 2",IF(AND(AT7="Tier 2",AS7&gt;=$AC7,AS7&gt;=$AD7)," ของ Tier 2 และ FYC รวมถึง "&amp;TEXT($AD7,"#,###")&amp;" บาท ของ Tier 2",""))))))</f>
        <v>ผลงานอนุมัติใหม่ถึง 100% ของ Tier 2 และ FYC รวมถึง 12,000 บาท ของ Tier 2</v>
      </c>
      <c r="AW7" s="110">
        <v>2</v>
      </c>
      <c r="AX7" s="119">
        <f>IF(AW7&lt;=$P$4,SUM($AU$6:AU7),0)</f>
        <v>0</v>
      </c>
      <c r="AZ7" s="110" t="s">
        <v>130</v>
      </c>
      <c r="BA7" s="118">
        <f t="shared" ref="BA7:BA17" si="13">$L$6</f>
        <v>900000</v>
      </c>
      <c r="BB7" s="118">
        <v>0</v>
      </c>
      <c r="BC7" s="118">
        <f t="shared" ref="BC7:BC17" si="14">BA7+BB7</f>
        <v>900000</v>
      </c>
      <c r="BD7" s="118" t="str">
        <f t="shared" ref="BD7:BD17" si="15">IF(AND(BA7&gt;=$AD7*50%,BC7&gt;=$AD7),"Tier 2",IF(AND(BA7&gt;=$AC7*50%,BC7&gt;=$AC7),"Tier 1",0))</f>
        <v>Tier 2</v>
      </c>
      <c r="BE7" s="118">
        <f t="shared" ref="BE7:BE17" si="16">IF(BD7="Tier 2",20000,IF(BD7="Tier 1",10000,IF(AND(OR(AZ7="เดือนที่ 1",AZ7="เดือนที่ 2"),BD7=0,BA7&gt;=$AB7),5000,0)))</f>
        <v>20000</v>
      </c>
      <c r="BF7" s="113" t="str">
        <f t="shared" ref="BF7:BF17" si="17">"ผลงานอนุมัติใหม่"&amp;IF(OR(AND(BD7="Tier 1",BA7&gt;=$AC7),AND(BD7="Tier 2",BA7&gt;=$AD7)),"ถึง 100%",IF(OR(AND(BD7=0,BA7&gt;=$AC7*50%),AND(BD7="Tier 1",BA7&gt;=$AC7*50%),AND(BD7="Tier 2",BA7&gt;=$AD7*50%)),"ถึง 50%","ไม่ถึง 50%"))&amp;IF(AND(BD7=0,OR(AZ7="เดือนที่ 1",AZ7="เดือนที่ 2"),BC7&gt;=$AC7*50%)," และ FYC รวมถึง "&amp;TEXT(BC7,"#,###")&amp;" เข้ากฎเกณฑ์ข้อ 4",IF(AND(BE7=0,BC7&gt;=$AC7,BC7&lt;$AD7)," แม้ว่า FYC รวมจะถึง "&amp;TEXT($AC7,"#,###")&amp;" บาท ของ Tier 1",IF(AND(BE7=0,BC7&gt;=$AC7,BC7&gt;=$AD7)," แม้ว่า FYC รวมจะถึง "&amp;TEXT($AD7,"#,###")&amp;" บาท ของ Tier 2",IF(AND(BD7="Tier 1",BC7&gt;=$AC7,BC7&lt;$AD7)," ของ Tier 1 และ FYC รวมถึง "&amp;TEXT($AC7,"#,###")&amp;" บาท ของ Tier 1",IF(AND(BD7="Tier 1",BC7&gt;=$AC7,BC7&gt;=$AD7)," ของ Tier 1 แม้ว่า FYC รวมจะมากกว่า "&amp;TEXT($AD7,"#,###")&amp;" บาท ของ Tier 2",IF(AND(BD7="Tier 2",BC7&gt;=$AC7,BC7&gt;=$AD7)," ของ Tier 2 และ FYC รวมถึง "&amp;TEXT($AD7,"#,###")&amp;" บาท ของ Tier 2",""))))))</f>
        <v>ผลงานอนุมัติใหม่ถึง 100% ของ Tier 2 และ FYC รวมถึง 12,000 บาท ของ Tier 2</v>
      </c>
      <c r="BG7" s="110">
        <v>2</v>
      </c>
      <c r="BH7" s="119">
        <f>IF(BG7&lt;=$P$4,SUM($BE$6:BE7),0)</f>
        <v>0</v>
      </c>
    </row>
    <row r="8" spans="1:60" ht="39" customHeight="1" x14ac:dyDescent="0.15">
      <c r="A8" s="103"/>
      <c r="B8" s="1059"/>
      <c r="C8" s="1034" t="s">
        <v>57</v>
      </c>
      <c r="D8" s="1034"/>
      <c r="E8" s="1034"/>
      <c r="F8" s="1034"/>
      <c r="G8" s="806">
        <f>P8</f>
        <v>0.1</v>
      </c>
      <c r="H8" s="807">
        <f t="shared" ref="H8:H10" si="18">$C$5*G8</f>
        <v>300000</v>
      </c>
      <c r="I8" s="806">
        <f>Q8</f>
        <v>9.5000000000000001E-2</v>
      </c>
      <c r="J8" s="807">
        <f t="shared" si="1"/>
        <v>285000</v>
      </c>
      <c r="K8" s="806">
        <f>R8</f>
        <v>0.08</v>
      </c>
      <c r="L8" s="808">
        <f t="shared" si="2"/>
        <v>240000</v>
      </c>
      <c r="M8" s="103"/>
      <c r="N8" s="579"/>
      <c r="O8" s="571" t="s">
        <v>58</v>
      </c>
      <c r="P8" s="572">
        <v>0.1</v>
      </c>
      <c r="Q8" s="574">
        <v>9.5000000000000001E-2</v>
      </c>
      <c r="R8" s="576">
        <v>0.08</v>
      </c>
      <c r="S8" s="580"/>
      <c r="T8" s="580"/>
      <c r="U8" s="580"/>
      <c r="V8" s="579"/>
      <c r="X8" s="120"/>
      <c r="AA8" s="106" t="s">
        <v>140</v>
      </c>
      <c r="AB8" s="116"/>
      <c r="AC8" s="116">
        <v>10000</v>
      </c>
      <c r="AD8" s="116">
        <v>18000</v>
      </c>
      <c r="AF8" s="110" t="s">
        <v>131</v>
      </c>
      <c r="AG8" s="118">
        <f t="shared" si="3"/>
        <v>1200000</v>
      </c>
      <c r="AH8" s="118">
        <v>0</v>
      </c>
      <c r="AI8" s="118">
        <f t="shared" si="4"/>
        <v>1200000</v>
      </c>
      <c r="AJ8" s="118" t="str">
        <f t="shared" si="5"/>
        <v>Tier 2</v>
      </c>
      <c r="AK8" s="118">
        <f t="shared" si="6"/>
        <v>20000</v>
      </c>
      <c r="AL8" s="113" t="str">
        <f t="shared" si="7"/>
        <v>ผลงานอนุมัติใหม่ถึง 100% ของ Tier 2 และ FYC รวมถึง 18,000 บาท ของ Tier 2</v>
      </c>
      <c r="AM8" s="110">
        <v>3</v>
      </c>
      <c r="AN8" s="119">
        <f>IF(AM8&lt;=$P$4,SUM($AK$6:AK8),0)</f>
        <v>0</v>
      </c>
      <c r="AP8" s="110" t="s">
        <v>131</v>
      </c>
      <c r="AQ8" s="118">
        <f t="shared" si="8"/>
        <v>1140000</v>
      </c>
      <c r="AR8" s="118">
        <v>0</v>
      </c>
      <c r="AS8" s="118">
        <f t="shared" si="9"/>
        <v>1140000</v>
      </c>
      <c r="AT8" s="118" t="str">
        <f t="shared" si="10"/>
        <v>Tier 2</v>
      </c>
      <c r="AU8" s="118">
        <f t="shared" si="11"/>
        <v>20000</v>
      </c>
      <c r="AV8" s="113" t="str">
        <f t="shared" si="12"/>
        <v>ผลงานอนุมัติใหม่ถึง 100% ของ Tier 2 และ FYC รวมถึง 18,000 บาท ของ Tier 2</v>
      </c>
      <c r="AW8" s="110">
        <v>3</v>
      </c>
      <c r="AX8" s="119">
        <f>IF(AW8&lt;=$P$4,SUM($AU$6:AU8),0)</f>
        <v>0</v>
      </c>
      <c r="AZ8" s="110" t="s">
        <v>131</v>
      </c>
      <c r="BA8" s="118">
        <f t="shared" si="13"/>
        <v>900000</v>
      </c>
      <c r="BB8" s="118">
        <v>0</v>
      </c>
      <c r="BC8" s="118">
        <f t="shared" si="14"/>
        <v>900000</v>
      </c>
      <c r="BD8" s="118" t="str">
        <f t="shared" si="15"/>
        <v>Tier 2</v>
      </c>
      <c r="BE8" s="118">
        <f t="shared" si="16"/>
        <v>20000</v>
      </c>
      <c r="BF8" s="113" t="str">
        <f t="shared" si="17"/>
        <v>ผลงานอนุมัติใหม่ถึง 100% ของ Tier 2 และ FYC รวมถึง 18,000 บาท ของ Tier 2</v>
      </c>
      <c r="BG8" s="110">
        <v>3</v>
      </c>
      <c r="BH8" s="119">
        <f>IF(BG8&lt;=$P$4,SUM($BE$6:BE8),0)</f>
        <v>0</v>
      </c>
    </row>
    <row r="9" spans="1:60" ht="39" customHeight="1" x14ac:dyDescent="0.15">
      <c r="A9" s="103"/>
      <c r="B9" s="1059"/>
      <c r="C9" s="1034" t="s">
        <v>58</v>
      </c>
      <c r="D9" s="1034"/>
      <c r="E9" s="1034"/>
      <c r="F9" s="1034"/>
      <c r="G9" s="809">
        <f>P9</f>
        <v>0.05</v>
      </c>
      <c r="H9" s="810">
        <f t="shared" si="18"/>
        <v>150000</v>
      </c>
      <c r="I9" s="809">
        <f>Q9</f>
        <v>3.5000000000000003E-2</v>
      </c>
      <c r="J9" s="810">
        <f t="shared" si="1"/>
        <v>105000.00000000001</v>
      </c>
      <c r="K9" s="809">
        <f>R9</f>
        <v>2.5000000000000001E-2</v>
      </c>
      <c r="L9" s="811">
        <f t="shared" si="2"/>
        <v>75000</v>
      </c>
      <c r="M9" s="103"/>
      <c r="N9" s="579"/>
      <c r="O9" s="571" t="s">
        <v>59</v>
      </c>
      <c r="P9" s="572">
        <v>0.05</v>
      </c>
      <c r="Q9" s="574">
        <v>3.5000000000000003E-2</v>
      </c>
      <c r="R9" s="576">
        <v>2.5000000000000001E-2</v>
      </c>
      <c r="S9" s="580"/>
      <c r="T9" s="580"/>
      <c r="U9" s="580"/>
      <c r="V9" s="579"/>
      <c r="X9" s="120"/>
      <c r="AA9" s="106" t="s">
        <v>141</v>
      </c>
      <c r="AB9" s="116"/>
      <c r="AC9" s="116">
        <v>10000</v>
      </c>
      <c r="AD9" s="116">
        <v>18000</v>
      </c>
      <c r="AF9" s="110" t="s">
        <v>132</v>
      </c>
      <c r="AG9" s="118">
        <f t="shared" si="3"/>
        <v>1200000</v>
      </c>
      <c r="AH9" s="118">
        <v>0</v>
      </c>
      <c r="AI9" s="118">
        <f t="shared" si="4"/>
        <v>1200000</v>
      </c>
      <c r="AJ9" s="118" t="str">
        <f t="shared" si="5"/>
        <v>Tier 2</v>
      </c>
      <c r="AK9" s="118">
        <f t="shared" si="6"/>
        <v>20000</v>
      </c>
      <c r="AL9" s="113" t="str">
        <f t="shared" si="7"/>
        <v>ผลงานอนุมัติใหม่ถึง 100% ของ Tier 2 และ FYC รวมถึง 18,000 บาท ของ Tier 2</v>
      </c>
      <c r="AM9" s="110">
        <v>4</v>
      </c>
      <c r="AN9" s="119">
        <f>IF(AM9&lt;=$P$4,SUM($AK$6:AK9),0)</f>
        <v>0</v>
      </c>
      <c r="AP9" s="110" t="s">
        <v>132</v>
      </c>
      <c r="AQ9" s="118">
        <f t="shared" si="8"/>
        <v>1140000</v>
      </c>
      <c r="AR9" s="118">
        <v>0</v>
      </c>
      <c r="AS9" s="118">
        <f t="shared" si="9"/>
        <v>1140000</v>
      </c>
      <c r="AT9" s="118" t="str">
        <f t="shared" si="10"/>
        <v>Tier 2</v>
      </c>
      <c r="AU9" s="118">
        <f t="shared" si="11"/>
        <v>20000</v>
      </c>
      <c r="AV9" s="113" t="str">
        <f t="shared" si="12"/>
        <v>ผลงานอนุมัติใหม่ถึง 100% ของ Tier 2 และ FYC รวมถึง 18,000 บาท ของ Tier 2</v>
      </c>
      <c r="AW9" s="110">
        <v>4</v>
      </c>
      <c r="AX9" s="119">
        <f>IF(AW9&lt;=$P$4,SUM($AU$6:AU9),0)</f>
        <v>0</v>
      </c>
      <c r="AZ9" s="110" t="s">
        <v>132</v>
      </c>
      <c r="BA9" s="118">
        <f t="shared" si="13"/>
        <v>900000</v>
      </c>
      <c r="BB9" s="118">
        <v>0</v>
      </c>
      <c r="BC9" s="118">
        <f t="shared" si="14"/>
        <v>900000</v>
      </c>
      <c r="BD9" s="118" t="str">
        <f t="shared" si="15"/>
        <v>Tier 2</v>
      </c>
      <c r="BE9" s="118">
        <f t="shared" si="16"/>
        <v>20000</v>
      </c>
      <c r="BF9" s="113" t="str">
        <f t="shared" si="17"/>
        <v>ผลงานอนุมัติใหม่ถึง 100% ของ Tier 2 และ FYC รวมถึง 18,000 บาท ของ Tier 2</v>
      </c>
      <c r="BG9" s="110">
        <v>4</v>
      </c>
      <c r="BH9" s="119">
        <f>IF(BG9&lt;=$P$4,SUM($BE$6:BE9),0)</f>
        <v>0</v>
      </c>
    </row>
    <row r="10" spans="1:60" ht="39" customHeight="1" x14ac:dyDescent="0.15">
      <c r="A10" s="103"/>
      <c r="B10" s="1059"/>
      <c r="C10" s="1034" t="s">
        <v>59</v>
      </c>
      <c r="D10" s="1034"/>
      <c r="E10" s="1034"/>
      <c r="F10" s="1034"/>
      <c r="G10" s="806">
        <f>P10</f>
        <v>0.05</v>
      </c>
      <c r="H10" s="807">
        <f t="shared" si="18"/>
        <v>150000</v>
      </c>
      <c r="I10" s="806">
        <f>Q10</f>
        <v>3.5000000000000003E-2</v>
      </c>
      <c r="J10" s="807">
        <f t="shared" si="1"/>
        <v>105000.00000000001</v>
      </c>
      <c r="K10" s="806">
        <f>R10</f>
        <v>2.5000000000000001E-2</v>
      </c>
      <c r="L10" s="808">
        <f t="shared" si="2"/>
        <v>75000</v>
      </c>
      <c r="M10" s="103"/>
      <c r="N10" s="579"/>
      <c r="O10" s="571" t="s">
        <v>60</v>
      </c>
      <c r="P10" s="572">
        <v>0.05</v>
      </c>
      <c r="Q10" s="574">
        <v>3.5000000000000003E-2</v>
      </c>
      <c r="R10" s="576">
        <v>2.5000000000000001E-2</v>
      </c>
      <c r="S10" s="580"/>
      <c r="T10" s="580"/>
      <c r="U10" s="580"/>
      <c r="V10" s="579"/>
      <c r="X10" s="120"/>
      <c r="AA10" s="106" t="s">
        <v>142</v>
      </c>
      <c r="AB10" s="115"/>
      <c r="AC10" s="115">
        <v>15000</v>
      </c>
      <c r="AD10" s="115">
        <v>30000</v>
      </c>
      <c r="AF10" s="110" t="s">
        <v>133</v>
      </c>
      <c r="AG10" s="118">
        <f t="shared" si="3"/>
        <v>1200000</v>
      </c>
      <c r="AH10" s="118">
        <v>0</v>
      </c>
      <c r="AI10" s="118">
        <f t="shared" si="4"/>
        <v>1200000</v>
      </c>
      <c r="AJ10" s="118" t="str">
        <f t="shared" si="5"/>
        <v>Tier 2</v>
      </c>
      <c r="AK10" s="118">
        <f t="shared" si="6"/>
        <v>20000</v>
      </c>
      <c r="AL10" s="113" t="str">
        <f t="shared" si="7"/>
        <v>ผลงานอนุมัติใหม่ถึง 100% ของ Tier 2 และ FYC รวมถึง 30,000 บาท ของ Tier 2</v>
      </c>
      <c r="AM10" s="110">
        <v>5</v>
      </c>
      <c r="AN10" s="119">
        <f>IF(AM10&lt;=$P$4,SUM($AK$6:AK10),0)</f>
        <v>0</v>
      </c>
      <c r="AP10" s="110" t="s">
        <v>133</v>
      </c>
      <c r="AQ10" s="118">
        <f t="shared" si="8"/>
        <v>1140000</v>
      </c>
      <c r="AR10" s="118">
        <v>0</v>
      </c>
      <c r="AS10" s="118">
        <f t="shared" si="9"/>
        <v>1140000</v>
      </c>
      <c r="AT10" s="118" t="str">
        <f t="shared" si="10"/>
        <v>Tier 2</v>
      </c>
      <c r="AU10" s="118">
        <f t="shared" si="11"/>
        <v>20000</v>
      </c>
      <c r="AV10" s="113" t="str">
        <f t="shared" si="12"/>
        <v>ผลงานอนุมัติใหม่ถึง 100% ของ Tier 2 และ FYC รวมถึง 30,000 บาท ของ Tier 2</v>
      </c>
      <c r="AW10" s="110">
        <v>5</v>
      </c>
      <c r="AX10" s="119">
        <f>IF(AW10&lt;=$P$4,SUM($AU$6:AU10),0)</f>
        <v>0</v>
      </c>
      <c r="AZ10" s="110" t="s">
        <v>133</v>
      </c>
      <c r="BA10" s="118">
        <f t="shared" si="13"/>
        <v>900000</v>
      </c>
      <c r="BB10" s="118">
        <v>0</v>
      </c>
      <c r="BC10" s="118">
        <f t="shared" si="14"/>
        <v>900000</v>
      </c>
      <c r="BD10" s="118" t="str">
        <f t="shared" si="15"/>
        <v>Tier 2</v>
      </c>
      <c r="BE10" s="118">
        <f t="shared" si="16"/>
        <v>20000</v>
      </c>
      <c r="BF10" s="113" t="str">
        <f t="shared" si="17"/>
        <v>ผลงานอนุมัติใหม่ถึง 100% ของ Tier 2 และ FYC รวมถึง 30,000 บาท ของ Tier 2</v>
      </c>
      <c r="BG10" s="110">
        <v>5</v>
      </c>
      <c r="BH10" s="119">
        <f>IF(BG10&lt;=$P$4,SUM($BE$6:BE10),0)</f>
        <v>0</v>
      </c>
    </row>
    <row r="11" spans="1:60" ht="34.5" x14ac:dyDescent="0.15">
      <c r="A11" s="103"/>
      <c r="B11" s="1035" t="s">
        <v>63</v>
      </c>
      <c r="C11" s="1036"/>
      <c r="D11" s="1039" t="s">
        <v>106</v>
      </c>
      <c r="E11" s="1036"/>
      <c r="F11" s="1060" t="s">
        <v>150</v>
      </c>
      <c r="G11" s="812" t="s">
        <v>411</v>
      </c>
      <c r="H11" s="813">
        <f>P4</f>
        <v>0.75</v>
      </c>
      <c r="I11" s="812" t="s">
        <v>411</v>
      </c>
      <c r="J11" s="813">
        <f>Q4</f>
        <v>0.75</v>
      </c>
      <c r="K11" s="812" t="s">
        <v>411</v>
      </c>
      <c r="L11" s="814">
        <f>R4</f>
        <v>1</v>
      </c>
      <c r="M11" s="103"/>
      <c r="N11" s="579"/>
      <c r="O11" s="364" t="s">
        <v>274</v>
      </c>
      <c r="P11" s="573">
        <v>0.75</v>
      </c>
      <c r="Q11" s="575">
        <v>0.75</v>
      </c>
      <c r="R11" s="124">
        <v>0.75</v>
      </c>
      <c r="S11" s="580"/>
      <c r="T11" s="580"/>
      <c r="U11" s="580"/>
      <c r="V11" s="579"/>
      <c r="AA11" s="106" t="s">
        <v>143</v>
      </c>
      <c r="AB11" s="115"/>
      <c r="AC11" s="115">
        <v>15000</v>
      </c>
      <c r="AD11" s="115">
        <v>30000</v>
      </c>
      <c r="AF11" s="110" t="s">
        <v>134</v>
      </c>
      <c r="AG11" s="118">
        <f t="shared" si="3"/>
        <v>1200000</v>
      </c>
      <c r="AH11" s="118">
        <v>0</v>
      </c>
      <c r="AI11" s="118">
        <f t="shared" si="4"/>
        <v>1200000</v>
      </c>
      <c r="AJ11" s="118" t="str">
        <f t="shared" si="5"/>
        <v>Tier 2</v>
      </c>
      <c r="AK11" s="118">
        <f t="shared" si="6"/>
        <v>20000</v>
      </c>
      <c r="AL11" s="113" t="str">
        <f t="shared" si="7"/>
        <v>ผลงานอนุมัติใหม่ถึง 100% ของ Tier 2 และ FYC รวมถึง 30,000 บาท ของ Tier 2</v>
      </c>
      <c r="AM11" s="110">
        <v>7</v>
      </c>
      <c r="AN11" s="119">
        <f>IF(AM11&lt;=$P$4,SUM($AK$6:AK11),0)</f>
        <v>0</v>
      </c>
      <c r="AP11" s="110" t="s">
        <v>134</v>
      </c>
      <c r="AQ11" s="118">
        <f t="shared" si="8"/>
        <v>1140000</v>
      </c>
      <c r="AR11" s="118">
        <v>0</v>
      </c>
      <c r="AS11" s="118">
        <f t="shared" si="9"/>
        <v>1140000</v>
      </c>
      <c r="AT11" s="118" t="str">
        <f t="shared" si="10"/>
        <v>Tier 2</v>
      </c>
      <c r="AU11" s="118">
        <f t="shared" si="11"/>
        <v>20000</v>
      </c>
      <c r="AV11" s="113" t="str">
        <f t="shared" si="12"/>
        <v>ผลงานอนุมัติใหม่ถึง 100% ของ Tier 2 และ FYC รวมถึง 30,000 บาท ของ Tier 2</v>
      </c>
      <c r="AW11" s="110">
        <v>7</v>
      </c>
      <c r="AX11" s="119">
        <f>IF(AW11&lt;=$P$4,SUM($AU$6:AU11),0)</f>
        <v>0</v>
      </c>
      <c r="AZ11" s="110" t="s">
        <v>134</v>
      </c>
      <c r="BA11" s="118">
        <f t="shared" si="13"/>
        <v>900000</v>
      </c>
      <c r="BB11" s="118">
        <v>0</v>
      </c>
      <c r="BC11" s="118">
        <f t="shared" si="14"/>
        <v>900000</v>
      </c>
      <c r="BD11" s="118" t="str">
        <f t="shared" si="15"/>
        <v>Tier 2</v>
      </c>
      <c r="BE11" s="118">
        <f t="shared" si="16"/>
        <v>20000</v>
      </c>
      <c r="BF11" s="113" t="str">
        <f t="shared" si="17"/>
        <v>ผลงานอนุมัติใหม่ถึง 100% ของ Tier 2 และ FYC รวมถึง 30,000 บาท ของ Tier 2</v>
      </c>
      <c r="BG11" s="110">
        <v>7</v>
      </c>
      <c r="BH11" s="119">
        <f>IF(BG11&lt;=$P$4,SUM($BE$6:BE11),0)</f>
        <v>0</v>
      </c>
    </row>
    <row r="12" spans="1:60" ht="34.5" x14ac:dyDescent="0.15">
      <c r="A12" s="103"/>
      <c r="B12" s="1037"/>
      <c r="C12" s="1038"/>
      <c r="D12" s="1040"/>
      <c r="E12" s="1038"/>
      <c r="F12" s="1061"/>
      <c r="G12" s="812" t="s">
        <v>274</v>
      </c>
      <c r="H12" s="813">
        <f>P11</f>
        <v>0.75</v>
      </c>
      <c r="I12" s="812" t="s">
        <v>274</v>
      </c>
      <c r="J12" s="813">
        <f>Q11</f>
        <v>0.75</v>
      </c>
      <c r="K12" s="812" t="s">
        <v>274</v>
      </c>
      <c r="L12" s="814">
        <f>R11</f>
        <v>0.75</v>
      </c>
      <c r="M12" s="103"/>
      <c r="N12" s="579"/>
      <c r="O12" s="579"/>
      <c r="P12" s="579"/>
      <c r="Q12" s="579"/>
      <c r="R12" s="579"/>
      <c r="S12" s="579"/>
      <c r="T12" s="579"/>
      <c r="U12" s="579"/>
      <c r="V12" s="579"/>
      <c r="AA12" s="106" t="s">
        <v>144</v>
      </c>
      <c r="AB12" s="115"/>
      <c r="AC12" s="115">
        <v>15000</v>
      </c>
      <c r="AD12" s="115">
        <v>30000</v>
      </c>
      <c r="AF12" s="110" t="s">
        <v>135</v>
      </c>
      <c r="AG12" s="118">
        <f t="shared" si="3"/>
        <v>1200000</v>
      </c>
      <c r="AH12" s="118">
        <v>0</v>
      </c>
      <c r="AI12" s="118">
        <f t="shared" si="4"/>
        <v>1200000</v>
      </c>
      <c r="AJ12" s="118" t="str">
        <f t="shared" si="5"/>
        <v>Tier 2</v>
      </c>
      <c r="AK12" s="118">
        <f t="shared" si="6"/>
        <v>20000</v>
      </c>
      <c r="AL12" s="113" t="str">
        <f t="shared" si="7"/>
        <v>ผลงานอนุมัติใหม่ถึง 100% ของ Tier 2 และ FYC รวมถึง 30,000 บาท ของ Tier 2</v>
      </c>
      <c r="AM12" s="110">
        <v>8</v>
      </c>
      <c r="AN12" s="119">
        <f>IF(AM12&lt;=$P$4,SUM($AK$6:AK12),0)</f>
        <v>0</v>
      </c>
      <c r="AP12" s="110" t="s">
        <v>135</v>
      </c>
      <c r="AQ12" s="118">
        <f t="shared" si="8"/>
        <v>1140000</v>
      </c>
      <c r="AR12" s="118">
        <v>0</v>
      </c>
      <c r="AS12" s="118">
        <f t="shared" si="9"/>
        <v>1140000</v>
      </c>
      <c r="AT12" s="118" t="str">
        <f t="shared" si="10"/>
        <v>Tier 2</v>
      </c>
      <c r="AU12" s="118">
        <f t="shared" si="11"/>
        <v>20000</v>
      </c>
      <c r="AV12" s="113" t="str">
        <f t="shared" si="12"/>
        <v>ผลงานอนุมัติใหม่ถึง 100% ของ Tier 2 และ FYC รวมถึง 30,000 บาท ของ Tier 2</v>
      </c>
      <c r="AW12" s="110">
        <v>8</v>
      </c>
      <c r="AX12" s="119">
        <f>IF(AW12&lt;=$P$4,SUM($AU$6:AU12),0)</f>
        <v>0</v>
      </c>
      <c r="AZ12" s="110" t="s">
        <v>135</v>
      </c>
      <c r="BA12" s="118">
        <f t="shared" si="13"/>
        <v>900000</v>
      </c>
      <c r="BB12" s="118">
        <v>0</v>
      </c>
      <c r="BC12" s="118">
        <f t="shared" si="14"/>
        <v>900000</v>
      </c>
      <c r="BD12" s="118" t="str">
        <f t="shared" si="15"/>
        <v>Tier 2</v>
      </c>
      <c r="BE12" s="118">
        <f t="shared" si="16"/>
        <v>20000</v>
      </c>
      <c r="BF12" s="113" t="str">
        <f t="shared" si="17"/>
        <v>ผลงานอนุมัติใหม่ถึง 100% ของ Tier 2 และ FYC รวมถึง 30,000 บาท ของ Tier 2</v>
      </c>
      <c r="BG12" s="110">
        <v>8</v>
      </c>
      <c r="BH12" s="119">
        <f>IF(BG12&lt;=$P$4,SUM($BE$6:BE12),0)</f>
        <v>0</v>
      </c>
    </row>
    <row r="13" spans="1:60" ht="34.5" x14ac:dyDescent="0.15">
      <c r="A13" s="103"/>
      <c r="B13" s="1062">
        <v>2</v>
      </c>
      <c r="C13" s="1051" t="s">
        <v>297</v>
      </c>
      <c r="D13" s="1010" t="s">
        <v>193</v>
      </c>
      <c r="E13" s="1010"/>
      <c r="F13" s="566">
        <v>0.2</v>
      </c>
      <c r="G13" s="1018" t="str">
        <f>IF($P$11&lt;70%,0,IF(H$6*$P$4/12&gt;64000,"35%",
IF(AND(H$6*$P$4/12&gt;32000,H$6*$P$4/12&lt;=64000),"30%",
IF(AND(H$6*$P$4/12&gt;16000,H$6*$P$4/12&lt;=32000),"25%",
IF(AND(H$6*$P$4/12&gt;8000,H$6*$P$4/12&lt;=16000),"20%",
0)))))</f>
        <v>35%</v>
      </c>
      <c r="H13" s="1020">
        <f>H6*$P$4*G13</f>
        <v>315000</v>
      </c>
      <c r="I13" s="1018" t="str">
        <f>IF($Q$11&lt;70%,0,IF(J$6*$Q$4/12&gt;64000,"35%",
IF(AND(J$6*$Q$4/12&gt;32000,J$6*$Q$4/12&lt;=64000),"30%",
IF(AND(J$6*$Q$4/12&gt;16000,J$6*$Q$4/12&lt;=32000),"25%",
IF(AND(J$6*$Q$4/12&gt;8000,J$6*$Q$4/12&lt;=16000),"20%",
0)))))</f>
        <v>35%</v>
      </c>
      <c r="J13" s="1020">
        <f>J6*$Q$4*I13</f>
        <v>299250</v>
      </c>
      <c r="K13" s="1018" t="str">
        <f>IF($R$11&lt;70%,0,IF(L$6*$R$4/12&gt;64000,"35%",
IF(AND(L$6*$R$4/12&gt;32000,L$6*$R$4/12&lt;=64000),"30%",
IF(AND(L$6*$R$4/12&gt;16000,L$6*$R$4/12&lt;=32000),"25%",
IF(AND(L$6*$R$4/12&gt;8000,L$6*$R$4/12&lt;=16000),"20%",
0)))))</f>
        <v>35%</v>
      </c>
      <c r="L13" s="1016">
        <f>L6*$R$4*K13</f>
        <v>315000</v>
      </c>
      <c r="M13" s="103"/>
      <c r="N13" s="579"/>
      <c r="O13" s="579"/>
      <c r="P13" s="579"/>
      <c r="Q13" s="579"/>
      <c r="R13" s="579"/>
      <c r="S13" s="579"/>
      <c r="T13" s="579"/>
      <c r="U13" s="579"/>
      <c r="V13" s="579"/>
      <c r="AA13" s="106"/>
      <c r="AB13" s="115"/>
      <c r="AC13" s="115"/>
      <c r="AD13" s="115"/>
      <c r="AF13" s="110"/>
      <c r="AG13" s="118"/>
      <c r="AH13" s="118"/>
      <c r="AI13" s="118"/>
      <c r="AJ13" s="118"/>
      <c r="AK13" s="118"/>
      <c r="AL13" s="113"/>
      <c r="AM13" s="110"/>
      <c r="AN13" s="119"/>
      <c r="AP13" s="110"/>
      <c r="AQ13" s="118"/>
      <c r="AR13" s="118"/>
      <c r="AS13" s="118"/>
      <c r="AT13" s="118"/>
      <c r="AU13" s="118"/>
      <c r="AV13" s="113"/>
      <c r="AW13" s="110"/>
      <c r="AX13" s="119"/>
      <c r="AZ13" s="110"/>
      <c r="BA13" s="118"/>
      <c r="BB13" s="118"/>
      <c r="BC13" s="118"/>
      <c r="BD13" s="118"/>
      <c r="BE13" s="118"/>
      <c r="BF13" s="113"/>
      <c r="BG13" s="110"/>
      <c r="BH13" s="119"/>
    </row>
    <row r="14" spans="1:60" ht="34.5" x14ac:dyDescent="0.15">
      <c r="A14" s="103"/>
      <c r="B14" s="1063"/>
      <c r="C14" s="1064"/>
      <c r="D14" s="1011" t="s">
        <v>194</v>
      </c>
      <c r="E14" s="1011"/>
      <c r="F14" s="567">
        <v>0.25</v>
      </c>
      <c r="G14" s="1019"/>
      <c r="H14" s="1021"/>
      <c r="I14" s="1019"/>
      <c r="J14" s="1021"/>
      <c r="K14" s="1019"/>
      <c r="L14" s="1017"/>
      <c r="M14" s="103"/>
      <c r="N14" s="579"/>
      <c r="O14" s="579"/>
      <c r="P14" s="579"/>
      <c r="Q14" s="579"/>
      <c r="R14" s="579"/>
      <c r="S14" s="579"/>
      <c r="T14" s="579"/>
      <c r="U14" s="579"/>
      <c r="V14" s="579"/>
      <c r="AA14" s="106"/>
      <c r="AB14" s="115"/>
      <c r="AC14" s="115"/>
      <c r="AD14" s="115"/>
      <c r="AF14" s="110"/>
      <c r="AG14" s="118"/>
      <c r="AH14" s="118"/>
      <c r="AI14" s="118"/>
      <c r="AJ14" s="118"/>
      <c r="AK14" s="118"/>
      <c r="AL14" s="113"/>
      <c r="AM14" s="110"/>
      <c r="AN14" s="119"/>
      <c r="AP14" s="110"/>
      <c r="AQ14" s="118"/>
      <c r="AR14" s="118"/>
      <c r="AS14" s="118"/>
      <c r="AT14" s="118"/>
      <c r="AU14" s="118"/>
      <c r="AV14" s="113"/>
      <c r="AW14" s="110"/>
      <c r="AX14" s="119"/>
      <c r="AZ14" s="110"/>
      <c r="BA14" s="118"/>
      <c r="BB14" s="118"/>
      <c r="BC14" s="118"/>
      <c r="BD14" s="118"/>
      <c r="BE14" s="118"/>
      <c r="BF14" s="113"/>
      <c r="BG14" s="110"/>
      <c r="BH14" s="119"/>
    </row>
    <row r="15" spans="1:60" ht="34.5" x14ac:dyDescent="0.15">
      <c r="A15" s="103"/>
      <c r="B15" s="1063"/>
      <c r="C15" s="1064"/>
      <c r="D15" s="1010" t="s">
        <v>195</v>
      </c>
      <c r="E15" s="1010"/>
      <c r="F15" s="566">
        <v>0.3</v>
      </c>
      <c r="G15" s="1019"/>
      <c r="H15" s="1021"/>
      <c r="I15" s="1019"/>
      <c r="J15" s="1021"/>
      <c r="K15" s="1019"/>
      <c r="L15" s="1017"/>
      <c r="M15" s="103"/>
      <c r="N15" s="579"/>
      <c r="O15" s="579"/>
      <c r="P15" s="579"/>
      <c r="Q15" s="579"/>
      <c r="R15" s="579"/>
      <c r="S15" s="579"/>
      <c r="T15" s="579"/>
      <c r="U15" s="579"/>
      <c r="V15" s="579"/>
      <c r="AA15" s="106"/>
      <c r="AB15" s="115"/>
      <c r="AC15" s="115"/>
      <c r="AD15" s="115"/>
      <c r="AF15" s="110"/>
      <c r="AG15" s="118"/>
      <c r="AH15" s="118"/>
      <c r="AI15" s="118"/>
      <c r="AJ15" s="118"/>
      <c r="AK15" s="118"/>
      <c r="AL15" s="113"/>
      <c r="AM15" s="110"/>
      <c r="AN15" s="119"/>
      <c r="AP15" s="110"/>
      <c r="AQ15" s="118"/>
      <c r="AR15" s="118"/>
      <c r="AS15" s="118"/>
      <c r="AT15" s="118"/>
      <c r="AU15" s="118"/>
      <c r="AV15" s="113"/>
      <c r="AW15" s="110"/>
      <c r="AX15" s="119"/>
      <c r="AZ15" s="110"/>
      <c r="BA15" s="118"/>
      <c r="BB15" s="118"/>
      <c r="BC15" s="118"/>
      <c r="BD15" s="118"/>
      <c r="BE15" s="118"/>
      <c r="BF15" s="113"/>
      <c r="BG15" s="110"/>
      <c r="BH15" s="119"/>
    </row>
    <row r="16" spans="1:60" ht="34.5" x14ac:dyDescent="0.15">
      <c r="A16" s="103"/>
      <c r="B16" s="1063"/>
      <c r="C16" s="1064"/>
      <c r="D16" s="1011" t="s">
        <v>331</v>
      </c>
      <c r="E16" s="1011"/>
      <c r="F16" s="567">
        <v>0.35</v>
      </c>
      <c r="G16" s="1019"/>
      <c r="H16" s="1021"/>
      <c r="I16" s="1019"/>
      <c r="J16" s="1021"/>
      <c r="K16" s="1019"/>
      <c r="L16" s="1017"/>
      <c r="M16" s="103"/>
      <c r="N16" s="579"/>
      <c r="O16" s="579"/>
      <c r="P16" s="579"/>
      <c r="Q16" s="579"/>
      <c r="R16" s="579"/>
      <c r="S16" s="579"/>
      <c r="T16" s="579"/>
      <c r="U16" s="579"/>
      <c r="V16" s="579"/>
      <c r="AA16" s="106" t="s">
        <v>145</v>
      </c>
      <c r="AB16" s="115"/>
      <c r="AC16" s="115">
        <v>15000</v>
      </c>
      <c r="AD16" s="115">
        <v>30000</v>
      </c>
      <c r="AF16" s="110" t="s">
        <v>136</v>
      </c>
      <c r="AG16" s="118">
        <f t="shared" si="3"/>
        <v>1200000</v>
      </c>
      <c r="AH16" s="118">
        <v>0</v>
      </c>
      <c r="AI16" s="118">
        <f t="shared" si="4"/>
        <v>1200000</v>
      </c>
      <c r="AJ16" s="118" t="str">
        <f t="shared" si="5"/>
        <v>Tier 2</v>
      </c>
      <c r="AK16" s="118">
        <f t="shared" si="6"/>
        <v>20000</v>
      </c>
      <c r="AL16" s="113" t="str">
        <f t="shared" si="7"/>
        <v>ผลงานอนุมัติใหม่ถึง 100% ของ Tier 2 และ FYC รวมถึง 30,000 บาท ของ Tier 2</v>
      </c>
      <c r="AM16" s="110">
        <v>11</v>
      </c>
      <c r="AN16" s="119">
        <f>IF(AM16&lt;=$P$4,SUM($AK$6:AK16),0)</f>
        <v>0</v>
      </c>
      <c r="AP16" s="110" t="s">
        <v>136</v>
      </c>
      <c r="AQ16" s="118">
        <f t="shared" si="8"/>
        <v>1140000</v>
      </c>
      <c r="AR16" s="118">
        <v>0</v>
      </c>
      <c r="AS16" s="118">
        <f t="shared" si="9"/>
        <v>1140000</v>
      </c>
      <c r="AT16" s="118" t="str">
        <f t="shared" si="10"/>
        <v>Tier 2</v>
      </c>
      <c r="AU16" s="118">
        <f t="shared" si="11"/>
        <v>20000</v>
      </c>
      <c r="AV16" s="113" t="str">
        <f t="shared" si="12"/>
        <v>ผลงานอนุมัติใหม่ถึง 100% ของ Tier 2 และ FYC รวมถึง 30,000 บาท ของ Tier 2</v>
      </c>
      <c r="AW16" s="110">
        <v>11</v>
      </c>
      <c r="AX16" s="119">
        <f>IF(AW16&lt;=$P$4,SUM($AU$6:AU16),0)</f>
        <v>0</v>
      </c>
      <c r="AZ16" s="110" t="s">
        <v>136</v>
      </c>
      <c r="BA16" s="118">
        <f t="shared" si="13"/>
        <v>900000</v>
      </c>
      <c r="BB16" s="118">
        <v>0</v>
      </c>
      <c r="BC16" s="118">
        <f t="shared" si="14"/>
        <v>900000</v>
      </c>
      <c r="BD16" s="118" t="str">
        <f t="shared" si="15"/>
        <v>Tier 2</v>
      </c>
      <c r="BE16" s="118">
        <f t="shared" si="16"/>
        <v>20000</v>
      </c>
      <c r="BF16" s="113" t="str">
        <f t="shared" si="17"/>
        <v>ผลงานอนุมัติใหม่ถึง 100% ของ Tier 2 และ FYC รวมถึง 30,000 บาท ของ Tier 2</v>
      </c>
      <c r="BG16" s="110">
        <v>11</v>
      </c>
      <c r="BH16" s="119">
        <f>IF(BG16&lt;=$P$4,SUM($BE$6:BE16),0)</f>
        <v>0</v>
      </c>
    </row>
    <row r="17" spans="1:60" ht="34.5" x14ac:dyDescent="0.15">
      <c r="A17" s="103"/>
      <c r="B17" s="1062">
        <v>3</v>
      </c>
      <c r="C17" s="1051" t="s">
        <v>298</v>
      </c>
      <c r="D17" s="1010" t="s">
        <v>200</v>
      </c>
      <c r="E17" s="1010"/>
      <c r="F17" s="568">
        <v>0.17499999999999999</v>
      </c>
      <c r="G17" s="1004">
        <f>IF(H6*$P$4/2&gt;400000,"35%",
IF(AND(H6*$P$4/2&gt;300000,H6*$P$4/2&lt;=400000),"32.5%",
IF(AND(H6*$P$4/2&gt;250000,H6*$P$4/2&lt;=300000),"30%",
IF(AND(H6*$P$4/2&gt;200000,H6*$P$4/2&lt;=250000),"27.5%",
IF(AND(H6*$P$4/2&gt;150000,H6*$P$4/2&lt;=200000),"25%",
IF(AND(H6*$P$4/2&gt;100000,H6*$P$4/2&lt;=150000),"22.5%",
IF(AND(H6*$P$4/2&gt;60000,H6*$P$4/2&lt;=100000),"20%",
IF(AND(H6*$P$4/2&gt;40000,H6*$P$4/2&lt;=60000),"17.5%",
1))))))))*(IF(H12&lt;70%,0%,IF(AND(H12&gt;=70%,H12&lt;85%),100%,IF(H12&gt;=85%,110%,))))</f>
        <v>0.35</v>
      </c>
      <c r="H17" s="1012">
        <f>H6*$P$4*G17</f>
        <v>315000</v>
      </c>
      <c r="I17" s="1004">
        <f>IF(J6*$Q$4/2&gt;400000,"35%",
IF(AND(J6*$Q$4/2&gt;300000,J6*$Q$4/2&lt;=400000),"32.5%",
IF(AND(J6*$Q$4/2&gt;250000,J6*$Q$4/2&lt;=300000),"30%",
IF(AND(J6*$Q$4/2&gt;200000,J6*$Q$4/2&lt;=250000),"27.5%",
IF(AND(J6*$Q$4/2&gt;150000,J6*$Q$4/2&lt;=200000),"25%",
IF(AND(J6*$Q$4/2&gt;100000,J6*$Q$4/2&lt;=150000),"22.5%",
IF(AND(J6*$Q$4/2&gt;60000,J6*$Q$4/2&lt;=100000),"20%",
IF(AND(J6*$Q$4/2&gt;40000,J6*$Q$4/2&lt;=60000),"17.5%",
1))))))))*(IF(J12&lt;70%,0%,IF(AND(J12&gt;=70%,J12&lt;85%),100%,IF(J12&gt;=85%,110%,))))</f>
        <v>0.35</v>
      </c>
      <c r="J17" s="1012">
        <f>J6*$Q$4*I17</f>
        <v>299250</v>
      </c>
      <c r="K17" s="1004">
        <f>IF(L6*$R$4/2&gt;400000,"35%",
IF(AND(L6*$R$4/2&gt;300000,L6*$R$4/2&lt;=400000),"32.5%",
IF(AND(L6*$R$4/2&gt;250000,L6*$R$4/2&lt;=300000),"30%",
IF(AND(L6*$R$4/2&gt;200000,L6*$R$4/2&lt;=250000),"27.5%",
IF(AND(L6*$R$4/2&gt;150000,L6*$R$4/2&lt;=200000),"25%",
IF(AND(L6*$R$4/2&gt;100000,L6*$R$4/2&lt;=150000),"22.5%",
IF(AND(L6*$R$4/2&gt;60000,L6*$R$4/2&lt;=100000),"20%",
IF(AND(L6*$R$4/2&gt;40000,L6*$R$4/2&lt;=60000),"17.5%",
1))))))))*(IF(L12&lt;70%,0%,IF(AND(L12&gt;=70%,L12&lt;85%),100%,IF(L12&gt;=85%,110%,))))</f>
        <v>0.35</v>
      </c>
      <c r="L17" s="1007">
        <f>L6*$R$4*K17</f>
        <v>315000</v>
      </c>
      <c r="M17" s="103"/>
      <c r="N17" s="579"/>
      <c r="O17" s="579"/>
      <c r="P17" s="579"/>
      <c r="Q17" s="579"/>
      <c r="R17" s="579"/>
      <c r="S17" s="579"/>
      <c r="T17" s="579"/>
      <c r="U17" s="579"/>
      <c r="V17" s="579"/>
      <c r="AA17" s="106" t="s">
        <v>146</v>
      </c>
      <c r="AB17" s="115"/>
      <c r="AC17" s="115">
        <v>15000</v>
      </c>
      <c r="AD17" s="115">
        <v>30000</v>
      </c>
      <c r="AF17" s="110" t="s">
        <v>137</v>
      </c>
      <c r="AG17" s="118">
        <f t="shared" si="3"/>
        <v>1200000</v>
      </c>
      <c r="AH17" s="118">
        <v>0</v>
      </c>
      <c r="AI17" s="118">
        <f t="shared" si="4"/>
        <v>1200000</v>
      </c>
      <c r="AJ17" s="118" t="str">
        <f t="shared" si="5"/>
        <v>Tier 2</v>
      </c>
      <c r="AK17" s="118">
        <f t="shared" si="6"/>
        <v>20000</v>
      </c>
      <c r="AL17" s="113" t="str">
        <f t="shared" si="7"/>
        <v>ผลงานอนุมัติใหม่ถึง 100% ของ Tier 2 และ FYC รวมถึง 30,000 บาท ของ Tier 2</v>
      </c>
      <c r="AM17" s="110">
        <v>12</v>
      </c>
      <c r="AN17" s="119">
        <f>IF(AM17&lt;=$P$4,SUM($AK$6:AK17),0)</f>
        <v>0</v>
      </c>
      <c r="AP17" s="110" t="s">
        <v>137</v>
      </c>
      <c r="AQ17" s="118">
        <f t="shared" si="8"/>
        <v>1140000</v>
      </c>
      <c r="AR17" s="118">
        <v>0</v>
      </c>
      <c r="AS17" s="118">
        <f t="shared" si="9"/>
        <v>1140000</v>
      </c>
      <c r="AT17" s="118" t="str">
        <f t="shared" si="10"/>
        <v>Tier 2</v>
      </c>
      <c r="AU17" s="118">
        <f t="shared" si="11"/>
        <v>20000</v>
      </c>
      <c r="AV17" s="113" t="str">
        <f t="shared" si="12"/>
        <v>ผลงานอนุมัติใหม่ถึง 100% ของ Tier 2 และ FYC รวมถึง 30,000 บาท ของ Tier 2</v>
      </c>
      <c r="AW17" s="110">
        <v>12</v>
      </c>
      <c r="AX17" s="119">
        <f>IF(AW17&lt;=$P$4,SUM($AU$6:AU17),0)</f>
        <v>0</v>
      </c>
      <c r="AZ17" s="110" t="s">
        <v>137</v>
      </c>
      <c r="BA17" s="118">
        <f t="shared" si="13"/>
        <v>900000</v>
      </c>
      <c r="BB17" s="118">
        <v>0</v>
      </c>
      <c r="BC17" s="118">
        <f t="shared" si="14"/>
        <v>900000</v>
      </c>
      <c r="BD17" s="118" t="str">
        <f t="shared" si="15"/>
        <v>Tier 2</v>
      </c>
      <c r="BE17" s="118">
        <f t="shared" si="16"/>
        <v>20000</v>
      </c>
      <c r="BF17" s="113" t="str">
        <f t="shared" si="17"/>
        <v>ผลงานอนุมัติใหม่ถึง 100% ของ Tier 2 และ FYC รวมถึง 30,000 บาท ของ Tier 2</v>
      </c>
      <c r="BG17" s="110">
        <v>12</v>
      </c>
      <c r="BH17" s="119">
        <f>IF(BG17&lt;=$P$4,SUM($BE$6:BE17),0)</f>
        <v>0</v>
      </c>
    </row>
    <row r="18" spans="1:60" ht="34.5" x14ac:dyDescent="0.15">
      <c r="A18" s="103"/>
      <c r="B18" s="1063"/>
      <c r="C18" s="1052"/>
      <c r="D18" s="1011" t="s">
        <v>201</v>
      </c>
      <c r="E18" s="1011"/>
      <c r="F18" s="569">
        <v>0.2</v>
      </c>
      <c r="G18" s="1005"/>
      <c r="H18" s="1013"/>
      <c r="I18" s="1005"/>
      <c r="J18" s="1013"/>
      <c r="K18" s="1005"/>
      <c r="L18" s="1008"/>
      <c r="M18" s="103"/>
      <c r="N18" s="579"/>
      <c r="O18" s="579"/>
      <c r="P18" s="579"/>
      <c r="Q18" s="579"/>
      <c r="R18" s="579"/>
      <c r="S18" s="579"/>
      <c r="T18" s="579"/>
      <c r="U18" s="579"/>
      <c r="V18" s="579"/>
      <c r="AA18" s="558"/>
      <c r="AB18" s="559"/>
      <c r="AC18" s="559"/>
      <c r="AD18" s="559"/>
      <c r="AF18" s="519"/>
      <c r="AG18" s="560"/>
      <c r="AH18" s="560"/>
      <c r="AI18" s="561"/>
      <c r="AJ18" s="118"/>
      <c r="AK18" s="562"/>
      <c r="AL18" s="563"/>
      <c r="AM18" s="564"/>
      <c r="AN18" s="565"/>
      <c r="AP18" s="519"/>
      <c r="AQ18" s="560"/>
      <c r="AR18" s="560"/>
      <c r="AS18" s="561"/>
      <c r="AT18" s="118"/>
      <c r="AU18" s="562"/>
      <c r="AV18" s="563"/>
      <c r="AW18" s="564"/>
      <c r="AX18" s="565"/>
      <c r="AZ18" s="519"/>
      <c r="BA18" s="560"/>
      <c r="BB18" s="560"/>
      <c r="BC18" s="561"/>
      <c r="BD18" s="118"/>
      <c r="BE18" s="562"/>
      <c r="BF18" s="563"/>
      <c r="BG18" s="564"/>
      <c r="BH18" s="565"/>
    </row>
    <row r="19" spans="1:60" ht="34.5" x14ac:dyDescent="0.15">
      <c r="A19" s="103"/>
      <c r="B19" s="1063"/>
      <c r="C19" s="1052"/>
      <c r="D19" s="1010" t="s">
        <v>202</v>
      </c>
      <c r="E19" s="1010"/>
      <c r="F19" s="568">
        <v>0.22500000000000001</v>
      </c>
      <c r="G19" s="1005"/>
      <c r="H19" s="1013"/>
      <c r="I19" s="1005"/>
      <c r="J19" s="1013"/>
      <c r="K19" s="1005"/>
      <c r="L19" s="1008"/>
      <c r="M19" s="103"/>
      <c r="N19" s="579"/>
      <c r="O19" s="579"/>
      <c r="P19" s="579"/>
      <c r="Q19" s="579"/>
      <c r="R19" s="579"/>
      <c r="S19" s="579"/>
      <c r="T19" s="579"/>
      <c r="U19" s="579"/>
      <c r="V19" s="579"/>
      <c r="AA19" s="558"/>
      <c r="AB19" s="559"/>
      <c r="AC19" s="559"/>
      <c r="AD19" s="559"/>
      <c r="AF19" s="519"/>
      <c r="AG19" s="560"/>
      <c r="AH19" s="560"/>
      <c r="AI19" s="561"/>
      <c r="AJ19" s="118"/>
      <c r="AK19" s="562"/>
      <c r="AL19" s="563"/>
      <c r="AM19" s="564"/>
      <c r="AN19" s="565"/>
      <c r="AP19" s="519"/>
      <c r="AQ19" s="560"/>
      <c r="AR19" s="560"/>
      <c r="AS19" s="561"/>
      <c r="AT19" s="118"/>
      <c r="AU19" s="562"/>
      <c r="AV19" s="563"/>
      <c r="AW19" s="564"/>
      <c r="AX19" s="565"/>
      <c r="AZ19" s="519"/>
      <c r="BA19" s="560"/>
      <c r="BB19" s="560"/>
      <c r="BC19" s="561"/>
      <c r="BD19" s="118"/>
      <c r="BE19" s="562"/>
      <c r="BF19" s="563"/>
      <c r="BG19" s="564"/>
      <c r="BH19" s="565"/>
    </row>
    <row r="20" spans="1:60" ht="34.5" x14ac:dyDescent="0.15">
      <c r="A20" s="103"/>
      <c r="B20" s="1063"/>
      <c r="C20" s="1052"/>
      <c r="D20" s="1011" t="s">
        <v>203</v>
      </c>
      <c r="E20" s="1011"/>
      <c r="F20" s="569">
        <v>0.25</v>
      </c>
      <c r="G20" s="1005"/>
      <c r="H20" s="1013"/>
      <c r="I20" s="1005"/>
      <c r="J20" s="1013"/>
      <c r="K20" s="1005"/>
      <c r="L20" s="1008"/>
      <c r="M20" s="103"/>
      <c r="N20" s="579"/>
      <c r="O20" s="579"/>
      <c r="P20" s="579"/>
      <c r="Q20" s="579"/>
      <c r="R20" s="579"/>
      <c r="S20" s="579"/>
      <c r="T20" s="579"/>
      <c r="U20" s="579"/>
      <c r="V20" s="579"/>
      <c r="AA20" s="558"/>
      <c r="AB20" s="559"/>
      <c r="AC20" s="559"/>
      <c r="AD20" s="559"/>
      <c r="AF20" s="519"/>
      <c r="AG20" s="560"/>
      <c r="AH20" s="560"/>
      <c r="AI20" s="561"/>
      <c r="AJ20" s="118"/>
      <c r="AK20" s="562"/>
      <c r="AL20" s="563"/>
      <c r="AM20" s="564"/>
      <c r="AN20" s="565"/>
      <c r="AP20" s="519"/>
      <c r="AQ20" s="560"/>
      <c r="AR20" s="560"/>
      <c r="AS20" s="561"/>
      <c r="AT20" s="118"/>
      <c r="AU20" s="562"/>
      <c r="AV20" s="563"/>
      <c r="AW20" s="564"/>
      <c r="AX20" s="565"/>
      <c r="AZ20" s="519"/>
      <c r="BA20" s="560"/>
      <c r="BB20" s="560"/>
      <c r="BC20" s="561"/>
      <c r="BD20" s="118"/>
      <c r="BE20" s="562"/>
      <c r="BF20" s="563"/>
      <c r="BG20" s="564"/>
      <c r="BH20" s="565"/>
    </row>
    <row r="21" spans="1:60" ht="34.5" x14ac:dyDescent="0.15">
      <c r="A21" s="103"/>
      <c r="B21" s="1063"/>
      <c r="C21" s="1052"/>
      <c r="D21" s="1010" t="s">
        <v>204</v>
      </c>
      <c r="E21" s="1010"/>
      <c r="F21" s="568">
        <v>0.27500000000000002</v>
      </c>
      <c r="G21" s="1005"/>
      <c r="H21" s="1013"/>
      <c r="I21" s="1005"/>
      <c r="J21" s="1013"/>
      <c r="K21" s="1005"/>
      <c r="L21" s="1008"/>
      <c r="M21" s="103"/>
      <c r="N21" s="579"/>
      <c r="O21" s="579"/>
      <c r="P21" s="579"/>
      <c r="Q21" s="579"/>
      <c r="R21" s="579"/>
      <c r="S21" s="579"/>
      <c r="T21" s="579"/>
      <c r="U21" s="579"/>
      <c r="V21" s="579"/>
      <c r="AA21" s="558"/>
      <c r="AB21" s="559"/>
      <c r="AC21" s="559"/>
      <c r="AD21" s="559"/>
      <c r="AF21" s="519"/>
      <c r="AG21" s="560"/>
      <c r="AH21" s="560"/>
      <c r="AI21" s="561"/>
      <c r="AJ21" s="118"/>
      <c r="AK21" s="562"/>
      <c r="AL21" s="563"/>
      <c r="AM21" s="564"/>
      <c r="AN21" s="565"/>
      <c r="AP21" s="519"/>
      <c r="AQ21" s="560"/>
      <c r="AR21" s="560"/>
      <c r="AS21" s="561"/>
      <c r="AT21" s="118"/>
      <c r="AU21" s="562"/>
      <c r="AV21" s="563"/>
      <c r="AW21" s="564"/>
      <c r="AX21" s="565"/>
      <c r="AZ21" s="519"/>
      <c r="BA21" s="560"/>
      <c r="BB21" s="560"/>
      <c r="BC21" s="561"/>
      <c r="BD21" s="118"/>
      <c r="BE21" s="562"/>
      <c r="BF21" s="563"/>
      <c r="BG21" s="564"/>
      <c r="BH21" s="565"/>
    </row>
    <row r="22" spans="1:60" ht="34.5" x14ac:dyDescent="0.15">
      <c r="A22" s="103"/>
      <c r="B22" s="1063"/>
      <c r="C22" s="1052"/>
      <c r="D22" s="1011" t="s">
        <v>205</v>
      </c>
      <c r="E22" s="1011"/>
      <c r="F22" s="569">
        <v>0.3</v>
      </c>
      <c r="G22" s="1005"/>
      <c r="H22" s="1013"/>
      <c r="I22" s="1005"/>
      <c r="J22" s="1013"/>
      <c r="K22" s="1005"/>
      <c r="L22" s="1008"/>
      <c r="M22" s="103"/>
      <c r="N22" s="579"/>
      <c r="O22" s="579"/>
      <c r="P22" s="579"/>
      <c r="Q22" s="579"/>
      <c r="R22" s="579"/>
      <c r="S22" s="579"/>
      <c r="T22" s="579"/>
      <c r="U22" s="579"/>
      <c r="V22" s="579"/>
      <c r="AA22" s="558"/>
      <c r="AB22" s="559"/>
      <c r="AC22" s="559"/>
      <c r="AD22" s="559"/>
      <c r="AF22" s="519"/>
      <c r="AG22" s="560"/>
      <c r="AH22" s="560"/>
      <c r="AI22" s="561"/>
      <c r="AJ22" s="118"/>
      <c r="AK22" s="562"/>
      <c r="AL22" s="563"/>
      <c r="AM22" s="564"/>
      <c r="AN22" s="565"/>
      <c r="AP22" s="519"/>
      <c r="AQ22" s="560"/>
      <c r="AR22" s="560"/>
      <c r="AS22" s="561"/>
      <c r="AT22" s="118"/>
      <c r="AU22" s="562"/>
      <c r="AV22" s="563"/>
      <c r="AW22" s="564"/>
      <c r="AX22" s="565"/>
      <c r="AZ22" s="519"/>
      <c r="BA22" s="560"/>
      <c r="BB22" s="560"/>
      <c r="BC22" s="561"/>
      <c r="BD22" s="118"/>
      <c r="BE22" s="562"/>
      <c r="BF22" s="563"/>
      <c r="BG22" s="564"/>
      <c r="BH22" s="565"/>
    </row>
    <row r="23" spans="1:60" ht="31.5" x14ac:dyDescent="0.15">
      <c r="A23" s="103"/>
      <c r="B23" s="1063"/>
      <c r="C23" s="1052"/>
      <c r="D23" s="1010" t="s">
        <v>206</v>
      </c>
      <c r="E23" s="1010"/>
      <c r="F23" s="568">
        <v>0.32500000000000001</v>
      </c>
      <c r="G23" s="1005"/>
      <c r="H23" s="1013"/>
      <c r="I23" s="1005"/>
      <c r="J23" s="1013"/>
      <c r="K23" s="1005"/>
      <c r="L23" s="1008"/>
      <c r="M23" s="103"/>
      <c r="N23" s="579"/>
      <c r="O23" s="579"/>
      <c r="P23" s="579"/>
      <c r="Q23" s="579"/>
      <c r="R23" s="579"/>
      <c r="S23" s="579"/>
      <c r="T23" s="579"/>
      <c r="U23" s="579"/>
      <c r="V23" s="579"/>
      <c r="AF23" s="1045" t="s">
        <v>61</v>
      </c>
      <c r="AG23" s="1046"/>
      <c r="AH23" s="1046"/>
      <c r="AI23" s="1047"/>
      <c r="AJ23" s="117">
        <f>SUM(AK6:AK17)</f>
        <v>180000</v>
      </c>
      <c r="AP23" s="1045" t="s">
        <v>61</v>
      </c>
      <c r="AQ23" s="1046"/>
      <c r="AR23" s="1046"/>
      <c r="AS23" s="1047"/>
      <c r="AT23" s="117">
        <f>SUM(AU6:AU17)</f>
        <v>180000</v>
      </c>
      <c r="AZ23" s="1045" t="s">
        <v>61</v>
      </c>
      <c r="BA23" s="1046"/>
      <c r="BB23" s="1046"/>
      <c r="BC23" s="1047"/>
      <c r="BD23" s="117">
        <f>SUM(BE6:BE17)</f>
        <v>180000</v>
      </c>
    </row>
    <row r="24" spans="1:60" ht="31.5" x14ac:dyDescent="0.15">
      <c r="A24" s="103"/>
      <c r="B24" s="1063"/>
      <c r="C24" s="1052"/>
      <c r="D24" s="1011" t="s">
        <v>332</v>
      </c>
      <c r="E24" s="1011"/>
      <c r="F24" s="569">
        <v>0.35</v>
      </c>
      <c r="G24" s="1005"/>
      <c r="H24" s="1013"/>
      <c r="I24" s="1005"/>
      <c r="J24" s="1013"/>
      <c r="K24" s="1005"/>
      <c r="L24" s="1008"/>
      <c r="M24" s="103"/>
      <c r="N24" s="579"/>
      <c r="O24" s="579"/>
      <c r="P24" s="579"/>
      <c r="Q24" s="579"/>
      <c r="R24" s="579"/>
      <c r="S24" s="579"/>
      <c r="T24" s="579"/>
      <c r="U24" s="579"/>
      <c r="V24" s="579"/>
    </row>
    <row r="25" spans="1:60" ht="39" customHeight="1" x14ac:dyDescent="0.15">
      <c r="A25" s="103"/>
      <c r="B25" s="1065"/>
      <c r="C25" s="1053"/>
      <c r="D25" s="1048" t="s">
        <v>299</v>
      </c>
      <c r="E25" s="1049"/>
      <c r="F25" s="1050"/>
      <c r="G25" s="1006"/>
      <c r="H25" s="1014"/>
      <c r="I25" s="1006"/>
      <c r="J25" s="1014"/>
      <c r="K25" s="1006"/>
      <c r="L25" s="1009"/>
      <c r="M25" s="103"/>
      <c r="N25" s="579"/>
      <c r="O25" s="579"/>
      <c r="P25" s="579"/>
      <c r="Q25" s="579"/>
      <c r="R25" s="579"/>
      <c r="S25" s="579"/>
      <c r="T25" s="579"/>
      <c r="U25" s="579"/>
      <c r="V25" s="579"/>
    </row>
    <row r="26" spans="1:60" ht="39" customHeight="1" x14ac:dyDescent="0.15">
      <c r="A26" s="103"/>
      <c r="B26" s="805">
        <v>4</v>
      </c>
      <c r="C26" s="996" t="s">
        <v>291</v>
      </c>
      <c r="D26" s="997"/>
      <c r="E26" s="997"/>
      <c r="F26" s="998"/>
      <c r="G26" s="988">
        <f>IF(AND(H$6*H$11&gt;=200000,H$12&gt;=85%),SUM(H7:H10)*H$12*H$11*110%,IF(AND(H$6*H$11&gt;=100000,H$12&gt;=75%),SUM(H7:H10)*H$12*H$11*100%,0))</f>
        <v>607500</v>
      </c>
      <c r="H26" s="989"/>
      <c r="I26" s="988">
        <f>IF(AND(J$6*J$11&gt;=200000,J$12&gt;=85%),SUM(J7:J10)*J$12*J$11*110%,IF(AND(J$6*J$11&gt;=100000,J$12&gt;=75%),SUM(J7:J10)*J$12*J$11*100%,0))</f>
        <v>540000</v>
      </c>
      <c r="J26" s="989"/>
      <c r="K26" s="988">
        <f>IF(AND(L$6*L$11&gt;=200000,L$12&gt;=85%),SUM(L7:L10)*L$12*L$11*110%,IF(AND(L$6*L$11&gt;=100000,L$12&gt;=75%),SUM(L7:L10)*L$12*L$11*100%,0))</f>
        <v>562500</v>
      </c>
      <c r="L26" s="990"/>
      <c r="M26" s="103"/>
      <c r="N26" s="579"/>
      <c r="O26" s="571" t="s">
        <v>310</v>
      </c>
      <c r="P26" s="570">
        <v>3</v>
      </c>
      <c r="Q26" s="578">
        <v>5</v>
      </c>
      <c r="R26" s="577">
        <v>10</v>
      </c>
      <c r="S26" s="986" t="s">
        <v>300</v>
      </c>
      <c r="T26" s="987"/>
      <c r="U26" s="579"/>
      <c r="V26" s="579"/>
    </row>
    <row r="27" spans="1:60" ht="39" customHeight="1" x14ac:dyDescent="0.15">
      <c r="A27" s="103"/>
      <c r="B27" s="805">
        <v>5</v>
      </c>
      <c r="C27" s="996" t="s">
        <v>292</v>
      </c>
      <c r="D27" s="997"/>
      <c r="E27" s="997"/>
      <c r="F27" s="815" t="s">
        <v>301</v>
      </c>
      <c r="G27" s="816">
        <f>P26*3</f>
        <v>9</v>
      </c>
      <c r="H27" s="807">
        <f>IF(AND(G27&gt;=5,H6*$P$4/4&gt;=50000),15000,IF(AND(G27&gt;=3,H6*$P$4/4&gt;=20000),6000,0))+IF(AND(G27&gt;=10,H6*$P$4/4&gt;=100000),25000,IF(AND(G27&gt;=5,H6*$P$4/4&gt;=40000),10000,0))</f>
        <v>25000</v>
      </c>
      <c r="I27" s="816">
        <f>Q26*3</f>
        <v>15</v>
      </c>
      <c r="J27" s="807">
        <f>IF(AND(I27&gt;=5,J6*$Q$4/4&gt;=50000),15000,IF(AND(I27&gt;=3,J6*$Q$4/4&gt;=20000),6000,0))+IF(AND(I27&gt;=10,J6*$Q$4/4&gt;=100000),25000,IF(AND(I27&gt;=5,J6*$Q$4/4&gt;=40000),10000,0))</f>
        <v>40000</v>
      </c>
      <c r="K27" s="816">
        <f>R26*3</f>
        <v>30</v>
      </c>
      <c r="L27" s="808">
        <f>IF(AND(K27&gt;=5,L6*$R$4/4&gt;=50000),15000,IF(AND(K27&gt;=3,L6*$R$4/4&gt;=20000),6000,0))+IF(AND(K27&gt;=10,L6*$R$4/4&gt;=100000),25000,IF(AND(K27&gt;=5,L6*$R$4/4&gt;=40000),10000,0))</f>
        <v>40000</v>
      </c>
      <c r="M27" s="103"/>
      <c r="N27" s="579"/>
      <c r="O27" s="579"/>
      <c r="P27" s="579"/>
      <c r="Q27" s="579"/>
      <c r="R27" s="579"/>
      <c r="S27" s="579"/>
      <c r="T27" s="579"/>
      <c r="U27" s="579"/>
      <c r="V27" s="579"/>
    </row>
    <row r="28" spans="1:60" ht="47.45" customHeight="1" x14ac:dyDescent="0.15">
      <c r="A28" s="103"/>
      <c r="B28" s="805">
        <v>6</v>
      </c>
      <c r="C28" s="996" t="s">
        <v>293</v>
      </c>
      <c r="D28" s="997"/>
      <c r="E28" s="997"/>
      <c r="F28" s="998"/>
      <c r="G28" s="817">
        <v>0.05</v>
      </c>
      <c r="H28" s="807">
        <f>H6*$P$4*G28</f>
        <v>45000</v>
      </c>
      <c r="I28" s="817">
        <v>0.05</v>
      </c>
      <c r="J28" s="807">
        <f>J6*$Q$4*I28</f>
        <v>42750</v>
      </c>
      <c r="K28" s="817">
        <v>0.05</v>
      </c>
      <c r="L28" s="808">
        <f>L6*$R$4*K28</f>
        <v>45000</v>
      </c>
      <c r="M28" s="103"/>
      <c r="N28" s="579"/>
      <c r="O28" s="579"/>
      <c r="P28" s="579"/>
      <c r="Q28" s="579"/>
      <c r="R28" s="579"/>
      <c r="S28" s="579"/>
      <c r="T28" s="579"/>
      <c r="U28" s="579"/>
      <c r="V28" s="579"/>
    </row>
    <row r="29" spans="1:60" ht="38.25" x14ac:dyDescent="0.15">
      <c r="A29" s="103"/>
      <c r="B29" s="973" t="s">
        <v>104</v>
      </c>
      <c r="C29" s="974"/>
      <c r="D29" s="974"/>
      <c r="E29" s="974"/>
      <c r="F29" s="974"/>
      <c r="G29" s="999">
        <f>SUM(G5,H13,H17,G26,H27,H28)</f>
        <v>3587500</v>
      </c>
      <c r="H29" s="999"/>
      <c r="I29" s="999">
        <f>SUM(I5,J13,J17,I26,J27,J28)</f>
        <v>3321250</v>
      </c>
      <c r="J29" s="999"/>
      <c r="K29" s="999">
        <f>SUM(K5,L13,L17,K26,L27,L28)</f>
        <v>2927500</v>
      </c>
      <c r="L29" s="1000"/>
      <c r="M29" s="103"/>
      <c r="N29" s="579"/>
      <c r="O29" s="581"/>
      <c r="P29" s="579"/>
      <c r="Q29" s="579"/>
      <c r="R29" s="579"/>
      <c r="S29" s="579"/>
      <c r="T29" s="579"/>
      <c r="U29" s="579"/>
      <c r="V29" s="579"/>
    </row>
    <row r="30" spans="1:60" ht="42.6" customHeight="1" x14ac:dyDescent="0.15">
      <c r="A30" s="103"/>
      <c r="B30" s="969"/>
      <c r="C30" s="970"/>
      <c r="D30" s="970"/>
      <c r="E30" s="970"/>
      <c r="F30" s="970"/>
      <c r="G30" s="970"/>
      <c r="H30" s="970"/>
      <c r="I30" s="970"/>
      <c r="J30" s="970"/>
      <c r="K30" s="970"/>
      <c r="L30" s="971"/>
      <c r="M30" s="103"/>
      <c r="N30" s="579"/>
      <c r="O30" s="581"/>
      <c r="P30" s="579"/>
      <c r="Q30" s="579"/>
      <c r="R30" s="579"/>
      <c r="S30" s="579"/>
      <c r="T30" s="579"/>
      <c r="U30" s="579"/>
      <c r="V30" s="579"/>
    </row>
    <row r="31" spans="1:60" ht="37.15" customHeight="1" x14ac:dyDescent="0.15">
      <c r="A31" s="103"/>
      <c r="B31" s="1001" t="s">
        <v>302</v>
      </c>
      <c r="C31" s="1002"/>
      <c r="D31" s="1002"/>
      <c r="E31" s="1002"/>
      <c r="F31" s="1002"/>
      <c r="G31" s="1002"/>
      <c r="H31" s="1002"/>
      <c r="I31" s="1002"/>
      <c r="J31" s="1002"/>
      <c r="K31" s="1002"/>
      <c r="L31" s="1003"/>
      <c r="M31" s="103"/>
      <c r="N31" s="579"/>
      <c r="O31" s="579"/>
      <c r="P31" s="579"/>
      <c r="Q31" s="579"/>
      <c r="R31" s="579"/>
      <c r="S31" s="579"/>
      <c r="T31" s="579"/>
      <c r="U31" s="579"/>
      <c r="V31" s="579"/>
    </row>
    <row r="32" spans="1:60" ht="36" customHeight="1" x14ac:dyDescent="0.15">
      <c r="A32" s="103"/>
      <c r="B32" s="975" t="s">
        <v>11</v>
      </c>
      <c r="C32" s="994" t="s">
        <v>308</v>
      </c>
      <c r="D32" s="995"/>
      <c r="E32" s="968" t="s">
        <v>105</v>
      </c>
      <c r="F32" s="968"/>
      <c r="G32" s="968" t="s">
        <v>306</v>
      </c>
      <c r="H32" s="968"/>
      <c r="I32" s="968" t="s">
        <v>307</v>
      </c>
      <c r="J32" s="968"/>
      <c r="K32" s="968" t="s">
        <v>109</v>
      </c>
      <c r="L32" s="972"/>
      <c r="M32" s="103"/>
      <c r="N32" s="579"/>
      <c r="O32" s="579"/>
      <c r="P32" s="579"/>
      <c r="Q32" s="579"/>
      <c r="R32" s="579"/>
      <c r="S32" s="579"/>
      <c r="T32" s="579"/>
      <c r="U32" s="579"/>
      <c r="V32" s="579"/>
    </row>
    <row r="33" spans="1:22" ht="36" customHeight="1" x14ac:dyDescent="0.15">
      <c r="A33" s="103"/>
      <c r="B33" s="976"/>
      <c r="C33" s="981" t="s">
        <v>107</v>
      </c>
      <c r="D33" s="981"/>
      <c r="E33" s="982" t="s">
        <v>303</v>
      </c>
      <c r="F33" s="982"/>
      <c r="G33" s="983">
        <v>100000</v>
      </c>
      <c r="H33" s="983"/>
      <c r="I33" s="983" t="s">
        <v>0</v>
      </c>
      <c r="J33" s="983"/>
      <c r="K33" s="983" t="s">
        <v>0</v>
      </c>
      <c r="L33" s="984"/>
      <c r="M33" s="103"/>
      <c r="N33" s="579"/>
      <c r="O33" s="579"/>
      <c r="P33" s="579"/>
      <c r="Q33" s="579"/>
      <c r="R33" s="579"/>
      <c r="S33" s="579"/>
      <c r="T33" s="579"/>
      <c r="U33" s="579"/>
      <c r="V33" s="579"/>
    </row>
    <row r="34" spans="1:22" ht="36" customHeight="1" x14ac:dyDescent="0.15">
      <c r="A34" s="103"/>
      <c r="B34" s="976"/>
      <c r="C34" s="981" t="s">
        <v>108</v>
      </c>
      <c r="D34" s="981"/>
      <c r="E34" s="991" t="s">
        <v>304</v>
      </c>
      <c r="F34" s="991"/>
      <c r="G34" s="992">
        <v>300000</v>
      </c>
      <c r="H34" s="992"/>
      <c r="I34" s="992">
        <v>800</v>
      </c>
      <c r="J34" s="992"/>
      <c r="K34" s="992">
        <v>500</v>
      </c>
      <c r="L34" s="993"/>
      <c r="M34" s="103"/>
      <c r="N34" s="579"/>
      <c r="O34" s="579"/>
      <c r="P34" s="579"/>
      <c r="Q34" s="579"/>
      <c r="R34" s="579"/>
      <c r="S34" s="579"/>
      <c r="T34" s="579"/>
      <c r="U34" s="579"/>
      <c r="V34" s="579"/>
    </row>
    <row r="35" spans="1:22" ht="30" thickBot="1" x14ac:dyDescent="0.2">
      <c r="A35" s="103"/>
      <c r="B35" s="977"/>
      <c r="C35" s="978" t="s">
        <v>108</v>
      </c>
      <c r="D35" s="978"/>
      <c r="E35" s="985" t="s">
        <v>305</v>
      </c>
      <c r="F35" s="985"/>
      <c r="G35" s="979">
        <v>500000</v>
      </c>
      <c r="H35" s="979"/>
      <c r="I35" s="979">
        <v>1400</v>
      </c>
      <c r="J35" s="979"/>
      <c r="K35" s="979">
        <v>500</v>
      </c>
      <c r="L35" s="980"/>
      <c r="M35" s="103"/>
      <c r="N35" s="103"/>
      <c r="O35" s="103"/>
      <c r="P35" s="103"/>
      <c r="Q35" s="103"/>
      <c r="R35" s="103"/>
      <c r="S35" s="103"/>
      <c r="T35" s="103"/>
      <c r="U35" s="103"/>
      <c r="V35" s="103"/>
    </row>
    <row r="36" spans="1:22" ht="24" customHeight="1" x14ac:dyDescent="0.15">
      <c r="A36" s="103"/>
      <c r="B36" s="103"/>
      <c r="C36" s="103"/>
      <c r="D36" s="103"/>
      <c r="E36" s="103"/>
      <c r="F36" s="103"/>
      <c r="G36" s="818"/>
      <c r="H36" s="818"/>
      <c r="I36" s="818"/>
      <c r="J36" s="818"/>
      <c r="K36" s="818"/>
      <c r="L36" s="818"/>
      <c r="M36" s="103"/>
      <c r="N36" s="103"/>
      <c r="O36" s="103"/>
      <c r="P36" s="103"/>
      <c r="Q36" s="103"/>
      <c r="R36" s="103"/>
      <c r="S36" s="103"/>
      <c r="T36" s="103"/>
      <c r="U36" s="103"/>
      <c r="V36" s="103"/>
    </row>
    <row r="37" spans="1:22" ht="24" customHeight="1" x14ac:dyDescent="0.15">
      <c r="A37" s="103"/>
      <c r="B37" s="103"/>
      <c r="C37" s="103"/>
      <c r="D37" s="103"/>
      <c r="E37" s="103"/>
      <c r="F37" s="103"/>
      <c r="G37" s="818"/>
      <c r="H37" s="818"/>
      <c r="I37" s="818"/>
      <c r="J37" s="818"/>
      <c r="K37" s="818"/>
      <c r="L37" s="818"/>
      <c r="M37" s="103"/>
      <c r="N37" s="103"/>
      <c r="O37" s="103"/>
      <c r="P37" s="103"/>
      <c r="Q37" s="103"/>
      <c r="R37" s="103"/>
      <c r="S37" s="103"/>
      <c r="T37" s="103"/>
      <c r="U37" s="103"/>
      <c r="V37" s="103"/>
    </row>
    <row r="38" spans="1:22" ht="18.75" customHeight="1" x14ac:dyDescent="0.15">
      <c r="A38" s="103"/>
      <c r="B38" s="103"/>
      <c r="C38" s="103"/>
      <c r="D38" s="103"/>
      <c r="E38" s="103"/>
      <c r="F38" s="103"/>
      <c r="G38" s="818"/>
      <c r="H38" s="818"/>
      <c r="I38" s="818"/>
      <c r="J38" s="818"/>
      <c r="K38" s="818"/>
      <c r="L38" s="818"/>
      <c r="M38" s="103"/>
      <c r="N38" s="103"/>
      <c r="O38" s="103"/>
      <c r="P38" s="103"/>
      <c r="Q38" s="103"/>
      <c r="R38" s="103"/>
      <c r="S38" s="103"/>
      <c r="T38" s="103"/>
      <c r="U38" s="103"/>
      <c r="V38" s="103"/>
    </row>
    <row r="39" spans="1:22" ht="18.75" customHeight="1" x14ac:dyDescent="0.15">
      <c r="A39" s="103"/>
      <c r="B39" s="103"/>
      <c r="C39" s="103"/>
      <c r="D39" s="103"/>
      <c r="E39" s="103"/>
      <c r="F39" s="103"/>
      <c r="G39" s="818"/>
      <c r="H39" s="818"/>
      <c r="I39" s="818"/>
      <c r="J39" s="818"/>
      <c r="K39" s="818"/>
      <c r="L39" s="818"/>
      <c r="M39" s="103"/>
      <c r="N39" s="103"/>
      <c r="O39" s="103"/>
      <c r="P39" s="103"/>
      <c r="Q39" s="103"/>
      <c r="R39" s="103"/>
      <c r="S39" s="103"/>
      <c r="T39" s="103"/>
      <c r="U39" s="103"/>
      <c r="V39" s="103"/>
    </row>
    <row r="40" spans="1:22" ht="18.75" customHeight="1" x14ac:dyDescent="0.15">
      <c r="A40" s="103"/>
      <c r="B40" s="103"/>
      <c r="C40" s="103"/>
      <c r="D40" s="103"/>
      <c r="E40" s="103"/>
      <c r="F40" s="103"/>
      <c r="G40" s="818"/>
      <c r="H40" s="818"/>
      <c r="I40" s="818"/>
      <c r="J40" s="818"/>
      <c r="K40" s="818"/>
      <c r="L40" s="818"/>
      <c r="M40" s="103"/>
      <c r="N40" s="103"/>
      <c r="O40" s="103"/>
      <c r="P40" s="103"/>
      <c r="Q40" s="103"/>
      <c r="R40" s="103"/>
      <c r="S40" s="103"/>
      <c r="T40" s="103"/>
      <c r="U40" s="103"/>
      <c r="V40" s="103"/>
    </row>
    <row r="41" spans="1:22" ht="18.75" customHeight="1" x14ac:dyDescent="0.15">
      <c r="A41" s="103"/>
      <c r="B41" s="103"/>
      <c r="C41" s="103"/>
      <c r="D41" s="103"/>
      <c r="E41" s="103"/>
      <c r="F41" s="103"/>
      <c r="G41" s="818"/>
      <c r="H41" s="818"/>
      <c r="I41" s="818"/>
      <c r="J41" s="818"/>
      <c r="K41" s="818"/>
      <c r="L41" s="818"/>
      <c r="M41" s="103"/>
      <c r="N41" s="103"/>
      <c r="O41" s="103"/>
      <c r="P41" s="103"/>
      <c r="Q41" s="103"/>
      <c r="R41" s="103"/>
      <c r="S41" s="103"/>
      <c r="T41" s="103"/>
      <c r="U41" s="103"/>
      <c r="V41" s="103"/>
    </row>
    <row r="42" spans="1:22" ht="18.75" customHeight="1" x14ac:dyDescent="0.15">
      <c r="A42" s="103"/>
      <c r="B42" s="103"/>
      <c r="C42" s="103"/>
      <c r="D42" s="103"/>
      <c r="E42" s="103"/>
      <c r="F42" s="103"/>
      <c r="G42" s="818"/>
      <c r="H42" s="818"/>
      <c r="I42" s="818"/>
      <c r="J42" s="818"/>
      <c r="K42" s="818"/>
      <c r="L42" s="818"/>
      <c r="M42" s="103"/>
      <c r="N42" s="103"/>
      <c r="O42" s="103"/>
      <c r="P42" s="103"/>
      <c r="Q42" s="103"/>
      <c r="R42" s="103"/>
      <c r="S42" s="103"/>
      <c r="T42" s="103"/>
      <c r="U42" s="103"/>
      <c r="V42" s="103"/>
    </row>
    <row r="43" spans="1:22" ht="30" customHeight="1" x14ac:dyDescent="0.15">
      <c r="A43" s="103"/>
      <c r="B43" s="103"/>
      <c r="C43" s="103"/>
      <c r="D43" s="103"/>
      <c r="E43" s="103"/>
      <c r="F43" s="103"/>
      <c r="G43" s="818"/>
      <c r="H43" s="818"/>
      <c r="I43" s="818"/>
      <c r="J43" s="818"/>
      <c r="K43" s="818"/>
      <c r="L43" s="818"/>
      <c r="M43" s="103"/>
      <c r="N43" s="103"/>
      <c r="O43" s="103"/>
      <c r="P43" s="103"/>
      <c r="Q43" s="103"/>
      <c r="R43" s="103"/>
      <c r="S43" s="103"/>
      <c r="T43" s="103"/>
      <c r="U43" s="103"/>
      <c r="V43" s="103"/>
    </row>
    <row r="44" spans="1:22" ht="30" customHeight="1" x14ac:dyDescent="0.15">
      <c r="B44" s="103"/>
      <c r="C44" s="103"/>
      <c r="D44" s="103"/>
      <c r="E44" s="103"/>
      <c r="F44" s="103"/>
      <c r="G44" s="818"/>
      <c r="H44" s="818"/>
      <c r="I44" s="818"/>
      <c r="J44" s="818"/>
      <c r="K44" s="818"/>
      <c r="L44" s="818"/>
    </row>
    <row r="45" spans="1:22" ht="37.5" customHeight="1" x14ac:dyDescent="0.15"/>
    <row r="46" spans="1:22" ht="37.5" customHeight="1" x14ac:dyDescent="0.15"/>
    <row r="47" spans="1:22" ht="37.5" customHeight="1" x14ac:dyDescent="0.15"/>
    <row r="48" spans="1:22" ht="37.5" customHeight="1" x14ac:dyDescent="0.15"/>
    <row r="49" ht="37.5" customHeight="1" x14ac:dyDescent="0.15"/>
    <row r="50" ht="37.5" customHeight="1" x14ac:dyDescent="0.15"/>
    <row r="51" ht="37.5" customHeight="1" x14ac:dyDescent="0.15"/>
    <row r="52" ht="37.5" customHeight="1" x14ac:dyDescent="0.15"/>
    <row r="53" ht="37.5" customHeight="1" x14ac:dyDescent="0.15"/>
    <row r="54" ht="37.5" customHeight="1" x14ac:dyDescent="0.15"/>
    <row r="55" ht="37.5" customHeight="1" x14ac:dyDescent="0.15"/>
    <row r="56" ht="37.5" customHeight="1" x14ac:dyDescent="0.15"/>
    <row r="57" ht="37.5" customHeight="1" x14ac:dyDescent="0.15"/>
    <row r="58" ht="37.5" customHeight="1" x14ac:dyDescent="0.15"/>
    <row r="59" ht="37.5" customHeight="1" x14ac:dyDescent="0.15"/>
    <row r="60" ht="37.5" customHeight="1" x14ac:dyDescent="0.15"/>
    <row r="61" ht="37.5" customHeight="1" x14ac:dyDescent="0.15"/>
    <row r="62" ht="37.5" customHeight="1" x14ac:dyDescent="0.15"/>
    <row r="63" ht="37.5" customHeight="1" x14ac:dyDescent="0.15"/>
    <row r="64" ht="37.5" customHeight="1" x14ac:dyDescent="0.15"/>
    <row r="65" ht="37.5" customHeight="1" x14ac:dyDescent="0.15"/>
    <row r="66" ht="38.25" customHeight="1" x14ac:dyDescent="0.15"/>
    <row r="67" ht="38.25" customHeight="1" x14ac:dyDescent="0.15"/>
    <row r="68" ht="38.25" customHeight="1" x14ac:dyDescent="0.15"/>
    <row r="69" ht="38.25" customHeight="1" x14ac:dyDescent="0.15"/>
  </sheetData>
  <sheetProtection algorithmName="SHA-512" hashValue="oZyCT2AkcKPCfpYUk9LyPgUw9t5XrT5gqp6xgEYlIez/RpObw4nzH6Jj8rD5AcC/IrnH/1Kfo2r8rOtCVWZM5g==" saltValue="8aRVs7tEMA8tNUsmrEaUCA==" spinCount="100000" sheet="1" objects="1" scenarios="1" selectLockedCells="1"/>
  <customSheetViews>
    <customSheetView guid="{82B311FB-57F0-41B4-A7C3-5882014D86A1}" scale="70" fitToPage="1" hiddenColumns="1" topLeftCell="A11">
      <selection activeCell="P26" sqref="P26"/>
      <pageMargins left="0.19685039370078741" right="0.19685039370078741" top="0.39370078740157483" bottom="0.19685039370078741" header="0" footer="0"/>
      <printOptions horizontalCentered="1"/>
      <pageSetup paperSize="9" scale="63" orientation="portrait" r:id="rId1"/>
    </customSheetView>
    <customSheetView guid="{00AC2CC8-9B9F-4979-A039-643E7B67D066}" scale="70" fitToPage="1" hiddenColumns="1" topLeftCell="A18">
      <selection activeCell="S3" sqref="S3:U3"/>
      <pageMargins left="0.19685039370078741" right="0.19685039370078741" top="0.39370078740157483" bottom="0.19685039370078741" header="0" footer="0"/>
      <printOptions horizontalCentered="1"/>
      <pageSetup paperSize="9" scale="74" orientation="portrait" r:id="rId2"/>
    </customSheetView>
  </customSheetViews>
  <mergeCells count="98">
    <mergeCell ref="G32:H32"/>
    <mergeCell ref="B13:B16"/>
    <mergeCell ref="C13:C16"/>
    <mergeCell ref="D13:E13"/>
    <mergeCell ref="D14:E14"/>
    <mergeCell ref="D15:E15"/>
    <mergeCell ref="D16:E16"/>
    <mergeCell ref="B17:B25"/>
    <mergeCell ref="G17:G25"/>
    <mergeCell ref="H17:H25"/>
    <mergeCell ref="C26:F26"/>
    <mergeCell ref="J13:J16"/>
    <mergeCell ref="D25:F25"/>
    <mergeCell ref="C17:C25"/>
    <mergeCell ref="AP2:AV2"/>
    <mergeCell ref="AP3:AV3"/>
    <mergeCell ref="AT4:AT5"/>
    <mergeCell ref="AU4:AU5"/>
    <mergeCell ref="AV4:AV5"/>
    <mergeCell ref="AP23:AS23"/>
    <mergeCell ref="AF2:AL2"/>
    <mergeCell ref="B4:L4"/>
    <mergeCell ref="E5:F5"/>
    <mergeCell ref="B6:B10"/>
    <mergeCell ref="C6:F6"/>
    <mergeCell ref="K13:K16"/>
    <mergeCell ref="F11:F12"/>
    <mergeCell ref="AZ23:BC23"/>
    <mergeCell ref="AF3:AL3"/>
    <mergeCell ref="AJ4:AJ5"/>
    <mergeCell ref="AK4:AK5"/>
    <mergeCell ref="AL4:AL5"/>
    <mergeCell ref="AF23:AI23"/>
    <mergeCell ref="AZ2:BF2"/>
    <mergeCell ref="AZ3:BF3"/>
    <mergeCell ref="BD4:BD5"/>
    <mergeCell ref="BE4:BE5"/>
    <mergeCell ref="BF4:BF5"/>
    <mergeCell ref="AA2:AD2"/>
    <mergeCell ref="L13:L16"/>
    <mergeCell ref="G13:G16"/>
    <mergeCell ref="H13:H16"/>
    <mergeCell ref="G5:H5"/>
    <mergeCell ref="I5:J5"/>
    <mergeCell ref="K5:L5"/>
    <mergeCell ref="P5:R5"/>
    <mergeCell ref="B2:L3"/>
    <mergeCell ref="C7:F7"/>
    <mergeCell ref="C8:F8"/>
    <mergeCell ref="C9:F9"/>
    <mergeCell ref="C10:F10"/>
    <mergeCell ref="B11:C12"/>
    <mergeCell ref="D11:E12"/>
    <mergeCell ref="I13:I16"/>
    <mergeCell ref="K17:K25"/>
    <mergeCell ref="L17:L25"/>
    <mergeCell ref="D17:E17"/>
    <mergeCell ref="D18:E18"/>
    <mergeCell ref="D19:E19"/>
    <mergeCell ref="D20:E20"/>
    <mergeCell ref="D21:E21"/>
    <mergeCell ref="D22:E22"/>
    <mergeCell ref="D23:E23"/>
    <mergeCell ref="D24:E24"/>
    <mergeCell ref="I17:I25"/>
    <mergeCell ref="J17:J25"/>
    <mergeCell ref="S26:T26"/>
    <mergeCell ref="G26:H26"/>
    <mergeCell ref="I26:J26"/>
    <mergeCell ref="K26:L26"/>
    <mergeCell ref="C34:D34"/>
    <mergeCell ref="E34:F34"/>
    <mergeCell ref="G34:H34"/>
    <mergeCell ref="I34:J34"/>
    <mergeCell ref="K34:L34"/>
    <mergeCell ref="C32:D32"/>
    <mergeCell ref="C28:F28"/>
    <mergeCell ref="C27:E27"/>
    <mergeCell ref="G29:H29"/>
    <mergeCell ref="I29:J29"/>
    <mergeCell ref="K29:L29"/>
    <mergeCell ref="B31:L31"/>
    <mergeCell ref="I32:J32"/>
    <mergeCell ref="B30:L30"/>
    <mergeCell ref="E32:F32"/>
    <mergeCell ref="K32:L32"/>
    <mergeCell ref="B29:F29"/>
    <mergeCell ref="B32:B35"/>
    <mergeCell ref="C35:D35"/>
    <mergeCell ref="K35:L35"/>
    <mergeCell ref="C33:D33"/>
    <mergeCell ref="E33:F33"/>
    <mergeCell ref="G33:H33"/>
    <mergeCell ref="I33:J33"/>
    <mergeCell ref="K33:L33"/>
    <mergeCell ref="E35:F35"/>
    <mergeCell ref="G35:H35"/>
    <mergeCell ref="I35:J35"/>
  </mergeCells>
  <phoneticPr fontId="3" type="noConversion"/>
  <printOptions horizontalCentered="1"/>
  <pageMargins left="0.19685039370078741" right="0.19685039370078741" top="0.39370078740157483" bottom="0.19685039370078741" header="0" footer="0"/>
  <pageSetup paperSize="9" scale="63" orientation="portrait" r:id="rId3"/>
  <ignoredErrors>
    <ignoredError sqref="I8:I10 K8:K1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0070C0"/>
    <pageSetUpPr fitToPage="1"/>
  </sheetPr>
  <dimension ref="A1:AC28"/>
  <sheetViews>
    <sheetView showGridLines="0" showRuler="0" zoomScale="70" workbookViewId="0">
      <selection activeCell="X9" sqref="X9:AA10"/>
    </sheetView>
  </sheetViews>
  <sheetFormatPr defaultColWidth="9.16796875" defaultRowHeight="39.75" x14ac:dyDescent="0.15"/>
  <cols>
    <col min="1" max="1" width="4.3125" style="639" customWidth="1"/>
    <col min="2" max="2" width="15.37109375" style="639" customWidth="1"/>
    <col min="3" max="3" width="8.62890625" style="639" customWidth="1"/>
    <col min="4" max="4" width="14.42578125" style="639" customWidth="1"/>
    <col min="5" max="5" width="6.60546875" style="642" customWidth="1"/>
    <col min="6" max="6" width="7.14453125" style="642" customWidth="1"/>
    <col min="7" max="7" width="11.0546875" style="642" customWidth="1"/>
    <col min="8" max="8" width="6.47265625" style="642" customWidth="1"/>
    <col min="9" max="9" width="9.3046875" style="642" customWidth="1"/>
    <col min="10" max="10" width="9.84375" style="642" customWidth="1"/>
    <col min="11" max="11" width="10.3828125" style="642" bestFit="1" customWidth="1"/>
    <col min="12" max="12" width="11.0546875" style="642" customWidth="1"/>
    <col min="13" max="13" width="5.52734375" style="642" bestFit="1" customWidth="1"/>
    <col min="14" max="15" width="11.4609375" style="642" customWidth="1"/>
    <col min="16" max="16" width="3.50390625" style="642" customWidth="1"/>
    <col min="17" max="17" width="6.875" style="646" customWidth="1"/>
    <col min="18" max="18" width="5.390625" style="646" customWidth="1"/>
    <col min="19" max="19" width="6.60546875" style="639" customWidth="1"/>
    <col min="20" max="20" width="5.390625" style="639" customWidth="1"/>
    <col min="21" max="21" width="4.71875" style="639" customWidth="1"/>
    <col min="22" max="22" width="9.16796875" style="639"/>
    <col min="23" max="23" width="9.16796875" style="639" customWidth="1"/>
    <col min="24" max="24" width="20.2265625" style="639" customWidth="1"/>
    <col min="25" max="25" width="13.6171875" style="639" customWidth="1"/>
    <col min="26" max="26" width="17.125" style="642" customWidth="1"/>
    <col min="27" max="27" width="11.73046875" style="639" customWidth="1"/>
    <col min="28" max="28" width="9.16796875" style="639"/>
    <col min="29" max="29" width="9.16796875" style="639" hidden="1" customWidth="1"/>
    <col min="30" max="16384" width="9.16796875" style="639"/>
  </cols>
  <sheetData>
    <row r="1" spans="1:29" ht="10.5" customHeight="1" x14ac:dyDescent="0.15">
      <c r="A1" s="662"/>
      <c r="B1" s="663"/>
      <c r="C1" s="663"/>
      <c r="D1" s="664"/>
      <c r="E1" s="665"/>
      <c r="F1" s="666"/>
      <c r="G1" s="667"/>
      <c r="H1" s="666"/>
      <c r="I1" s="667"/>
      <c r="J1" s="666"/>
      <c r="K1" s="667"/>
      <c r="L1" s="667"/>
      <c r="M1" s="666"/>
      <c r="N1" s="667"/>
      <c r="O1" s="667"/>
      <c r="P1" s="663"/>
      <c r="Q1" s="663"/>
      <c r="R1" s="663"/>
      <c r="S1" s="663"/>
      <c r="T1" s="663"/>
      <c r="U1" s="668"/>
      <c r="V1" s="638"/>
      <c r="W1" s="638"/>
    </row>
    <row r="2" spans="1:29" s="636" customFormat="1" ht="52.5" thickBot="1" x14ac:dyDescent="0.2">
      <c r="A2" s="669"/>
      <c r="B2" s="670"/>
      <c r="C2" s="670"/>
      <c r="D2" s="1068" t="s">
        <v>4</v>
      </c>
      <c r="E2" s="1068"/>
      <c r="F2" s="671" t="s">
        <v>5</v>
      </c>
      <c r="G2" s="671"/>
      <c r="H2" s="671"/>
      <c r="I2" s="671"/>
      <c r="J2" s="671"/>
      <c r="K2" s="671"/>
      <c r="L2" s="671"/>
      <c r="M2" s="670"/>
      <c r="N2" s="670"/>
      <c r="O2" s="670"/>
      <c r="P2" s="670"/>
      <c r="Q2" s="670"/>
      <c r="R2" s="670"/>
      <c r="S2" s="670"/>
      <c r="T2" s="670"/>
      <c r="U2" s="672"/>
      <c r="V2" s="640"/>
      <c r="W2" s="640"/>
      <c r="Z2" s="637"/>
      <c r="AC2" s="648">
        <v>30</v>
      </c>
    </row>
    <row r="3" spans="1:29" s="636" customFormat="1" ht="42" thickBot="1" x14ac:dyDescent="0.2">
      <c r="A3" s="669"/>
      <c r="B3" s="670"/>
      <c r="C3" s="670"/>
      <c r="D3" s="1077">
        <f>IF(K3&gt;K4,(K3-K5)+D5,0)</f>
        <v>2624</v>
      </c>
      <c r="E3" s="1078"/>
      <c r="F3" s="687"/>
      <c r="G3" s="687"/>
      <c r="H3" s="1079" t="str">
        <f>IF(K4&gt;=1,"หากท่านมีอายุ",0)</f>
        <v>หากท่านมีอายุ</v>
      </c>
      <c r="I3" s="1080"/>
      <c r="J3" s="1080"/>
      <c r="K3" s="249">
        <v>85</v>
      </c>
      <c r="L3" s="692" t="str">
        <f>IF(K4&gt;=1,"ปี",0)</f>
        <v>ปี</v>
      </c>
      <c r="M3" s="693" t="str">
        <f>IF(K3&gt;=1,"=",0)</f>
        <v>=</v>
      </c>
      <c r="N3" s="694"/>
      <c r="O3" s="1066">
        <f>K3*365</f>
        <v>31025</v>
      </c>
      <c r="P3" s="1067"/>
      <c r="Q3" s="693" t="str">
        <f>IF(O3&gt;1,"วัน",0)</f>
        <v>วัน</v>
      </c>
      <c r="R3" s="698"/>
      <c r="S3" s="698"/>
      <c r="T3" s="698"/>
      <c r="U3" s="699"/>
      <c r="V3" s="640"/>
      <c r="W3" s="640"/>
      <c r="Z3" s="637"/>
      <c r="AC3" s="649">
        <v>150</v>
      </c>
    </row>
    <row r="4" spans="1:29" s="636" customFormat="1" ht="41.25" x14ac:dyDescent="0.15">
      <c r="A4" s="669"/>
      <c r="B4" s="670"/>
      <c r="C4" s="670"/>
      <c r="D4" s="1075">
        <f>IF(K4&gt;K5,(K4-K5)+D5,0)</f>
        <v>2599</v>
      </c>
      <c r="E4" s="1076"/>
      <c r="F4" s="688"/>
      <c r="G4" s="688"/>
      <c r="H4" s="1081" t="str">
        <f>IF(K5&gt;=1,"เกษียณอายุ",0)</f>
        <v>เกษียณอายุ</v>
      </c>
      <c r="I4" s="1082"/>
      <c r="J4" s="1082"/>
      <c r="K4" s="250">
        <v>60</v>
      </c>
      <c r="L4" s="695" t="str">
        <f>IF(K5&gt;=1,"ปี",0)</f>
        <v>ปี</v>
      </c>
      <c r="M4" s="696"/>
      <c r="N4" s="696"/>
      <c r="O4" s="696"/>
      <c r="P4" s="696"/>
      <c r="Q4" s="696"/>
      <c r="R4" s="700"/>
      <c r="S4" s="700"/>
      <c r="T4" s="700"/>
      <c r="U4" s="699"/>
      <c r="V4" s="640"/>
      <c r="W4" s="640"/>
      <c r="Z4" s="637"/>
    </row>
    <row r="5" spans="1:29" s="636" customFormat="1" ht="42" thickBot="1" x14ac:dyDescent="0.2">
      <c r="A5" s="1071">
        <f ca="1">TODAY()</f>
        <v>46119</v>
      </c>
      <c r="B5" s="1072"/>
      <c r="C5" s="1072"/>
      <c r="D5" s="1073">
        <v>2569</v>
      </c>
      <c r="E5" s="1074"/>
      <c r="F5" s="689"/>
      <c r="G5" s="689"/>
      <c r="H5" s="1083" t="s">
        <v>6</v>
      </c>
      <c r="I5" s="1084"/>
      <c r="J5" s="1084"/>
      <c r="K5" s="251">
        <v>30</v>
      </c>
      <c r="L5" s="697" t="s">
        <v>1</v>
      </c>
      <c r="M5" s="679"/>
      <c r="N5" s="679"/>
      <c r="O5" s="679"/>
      <c r="P5" s="701"/>
      <c r="Q5" s="701"/>
      <c r="R5" s="701"/>
      <c r="S5" s="701"/>
      <c r="T5" s="701"/>
      <c r="U5" s="702"/>
      <c r="V5" s="640"/>
      <c r="W5" s="640"/>
      <c r="Z5" s="637"/>
    </row>
    <row r="6" spans="1:29" s="636" customFormat="1" ht="14.25" customHeight="1" thickBot="1" x14ac:dyDescent="0.2">
      <c r="A6" s="669"/>
      <c r="B6" s="673"/>
      <c r="C6" s="673"/>
      <c r="D6" s="690"/>
      <c r="E6" s="690"/>
      <c r="F6" s="690"/>
      <c r="G6" s="690"/>
      <c r="H6" s="690"/>
      <c r="I6" s="691"/>
      <c r="J6" s="690"/>
      <c r="K6" s="690"/>
      <c r="L6" s="670"/>
      <c r="M6" s="670"/>
      <c r="N6" s="670"/>
      <c r="O6" s="670"/>
      <c r="P6" s="670"/>
      <c r="Q6" s="670"/>
      <c r="R6" s="670"/>
      <c r="S6" s="670"/>
      <c r="T6" s="670"/>
      <c r="U6" s="672"/>
      <c r="V6" s="640"/>
      <c r="W6" s="640"/>
      <c r="Z6" s="637"/>
    </row>
    <row r="7" spans="1:29" s="636" customFormat="1" ht="41.25" x14ac:dyDescent="0.15">
      <c r="A7" s="669"/>
      <c r="B7" s="643" t="str">
        <f>IF(B8&gt;=1,"อายุ / ปี",0)</f>
        <v>อายุ / ปี</v>
      </c>
      <c r="C7" s="1069" t="str">
        <f>IF(C8&gt;=1,"เวลาที่ใช้ไป / วัน",0)</f>
        <v>เวลาที่ใช้ไป / วัน</v>
      </c>
      <c r="D7" s="1069"/>
      <c r="E7" s="1069" t="str">
        <f>IF(E8&gt;=1,"เวลาที่เหลืออยู่ / วัน",0)</f>
        <v>เวลาที่เหลืออยู่ / วัน</v>
      </c>
      <c r="F7" s="1069"/>
      <c r="G7" s="1069"/>
      <c r="H7" s="1069"/>
      <c r="I7" s="1069" t="str">
        <f>IF(I8&gt;1,"เหลือเวลาทำงาน / วัน",0)</f>
        <v>เหลือเวลาทำงาน / วัน</v>
      </c>
      <c r="J7" s="1069"/>
      <c r="K7" s="1069"/>
      <c r="L7" s="1069"/>
      <c r="M7" s="1069" t="str">
        <f>IF(M8&gt;1,"เหลือเวลาหลังเกษียน/วัน",0)</f>
        <v>เหลือเวลาหลังเกษียน/วัน</v>
      </c>
      <c r="N7" s="1069"/>
      <c r="O7" s="1069"/>
      <c r="P7" s="1069"/>
      <c r="Q7" s="1069"/>
      <c r="R7" s="1069"/>
      <c r="S7" s="1085"/>
      <c r="T7" s="670"/>
      <c r="U7" s="672"/>
      <c r="V7" s="640"/>
      <c r="W7" s="640"/>
      <c r="Z7" s="637"/>
    </row>
    <row r="8" spans="1:29" s="636" customFormat="1" ht="42" thickBot="1" x14ac:dyDescent="0.2">
      <c r="A8" s="669"/>
      <c r="B8" s="644">
        <f>K5</f>
        <v>30</v>
      </c>
      <c r="C8" s="1070">
        <f>B8*365</f>
        <v>10950</v>
      </c>
      <c r="D8" s="1070"/>
      <c r="E8" s="1070">
        <f>IF(K3&gt;K5,(K3-B8)*365,0)</f>
        <v>20075</v>
      </c>
      <c r="F8" s="1070"/>
      <c r="G8" s="1070"/>
      <c r="H8" s="1070"/>
      <c r="I8" s="1070">
        <f>IF(K4&gt;K5,(K4-B8)*365,0)</f>
        <v>10950</v>
      </c>
      <c r="J8" s="1070"/>
      <c r="K8" s="1070"/>
      <c r="L8" s="1070"/>
      <c r="M8" s="1070">
        <f>IF(K3&gt;K4,E8-I8,0)</f>
        <v>9125</v>
      </c>
      <c r="N8" s="1070"/>
      <c r="O8" s="1070"/>
      <c r="P8" s="1070"/>
      <c r="Q8" s="1070"/>
      <c r="R8" s="1070"/>
      <c r="S8" s="1086"/>
      <c r="T8" s="670"/>
      <c r="U8" s="672"/>
      <c r="V8" s="640"/>
      <c r="W8" s="640"/>
      <c r="X8" s="886" t="s">
        <v>318</v>
      </c>
      <c r="Y8" s="886"/>
      <c r="Z8" s="886"/>
      <c r="AA8" s="886"/>
    </row>
    <row r="9" spans="1:29" s="636" customFormat="1" ht="42" thickBot="1" x14ac:dyDescent="0.2">
      <c r="A9" s="669"/>
      <c r="B9" s="670"/>
      <c r="C9" s="1087" t="str">
        <f>IF(B8&gt;=1,"เหลือเวลา / ปี",0)</f>
        <v>เหลือเวลา / ปี</v>
      </c>
      <c r="D9" s="1088"/>
      <c r="E9" s="1110">
        <f>IF(K3&gt;K5,K3-B8,0)</f>
        <v>55</v>
      </c>
      <c r="F9" s="1110"/>
      <c r="G9" s="1110"/>
      <c r="H9" s="1110"/>
      <c r="I9" s="1110">
        <f>IF(K4&gt;K5,K4-B8,0)</f>
        <v>30</v>
      </c>
      <c r="J9" s="1110"/>
      <c r="K9" s="1110"/>
      <c r="L9" s="1110"/>
      <c r="M9" s="1110">
        <f>IF(K3&gt;K4,K3-K4,0)</f>
        <v>25</v>
      </c>
      <c r="N9" s="1110"/>
      <c r="O9" s="1110"/>
      <c r="P9" s="1110"/>
      <c r="Q9" s="1110"/>
      <c r="R9" s="1110"/>
      <c r="S9" s="1111"/>
      <c r="T9" s="670"/>
      <c r="U9" s="672"/>
      <c r="V9" s="640"/>
      <c r="W9" s="640"/>
      <c r="X9" s="1113" t="s">
        <v>182</v>
      </c>
      <c r="Y9" s="1113"/>
      <c r="Z9" s="1113"/>
      <c r="AA9" s="1113"/>
    </row>
    <row r="10" spans="1:29" s="636" customFormat="1" ht="13.5" customHeight="1" thickBot="1" x14ac:dyDescent="0.2">
      <c r="A10" s="669"/>
      <c r="B10" s="670"/>
      <c r="C10" s="670"/>
      <c r="D10" s="670"/>
      <c r="E10" s="682"/>
      <c r="F10" s="682"/>
      <c r="G10" s="682"/>
      <c r="H10" s="682"/>
      <c r="I10" s="682"/>
      <c r="J10" s="682"/>
      <c r="K10" s="682"/>
      <c r="L10" s="682"/>
      <c r="M10" s="682"/>
      <c r="N10" s="682"/>
      <c r="O10" s="682"/>
      <c r="P10" s="682"/>
      <c r="Q10" s="682"/>
      <c r="R10" s="682"/>
      <c r="S10" s="682"/>
      <c r="T10" s="670"/>
      <c r="U10" s="672"/>
      <c r="V10" s="640"/>
      <c r="W10" s="640"/>
      <c r="X10" s="1113"/>
      <c r="Y10" s="1113"/>
      <c r="Z10" s="1113"/>
      <c r="AA10" s="1113"/>
    </row>
    <row r="11" spans="1:29" s="636" customFormat="1" ht="52.5" thickBot="1" x14ac:dyDescent="0.2">
      <c r="A11" s="674"/>
      <c r="B11" s="678"/>
      <c r="C11" s="717" t="str">
        <f>IF(K3&gt;K4,"ต้องการเงินเกษียณเดือนละ",0)</f>
        <v>ต้องการเงินเกษียณเดือนละ</v>
      </c>
      <c r="D11" s="717"/>
      <c r="E11" s="718"/>
      <c r="F11" s="718"/>
      <c r="G11" s="718"/>
      <c r="H11" s="1104">
        <f>IF(X9="Auto",AC2*1000,Y11)</f>
        <v>30000</v>
      </c>
      <c r="I11" s="1105"/>
      <c r="J11" s="1106"/>
      <c r="K11" s="719"/>
      <c r="L11" s="719"/>
      <c r="M11" s="1107">
        <f>H11*12</f>
        <v>360000</v>
      </c>
      <c r="N11" s="1108"/>
      <c r="O11" s="1108"/>
      <c r="P11" s="1109"/>
      <c r="Q11" s="719" t="str">
        <f>IF(K3&gt;K4,"/ปี",0)</f>
        <v>/ปี</v>
      </c>
      <c r="R11" s="718"/>
      <c r="S11" s="720">
        <f>M9</f>
        <v>25</v>
      </c>
      <c r="T11" s="721" t="str">
        <f>IF(S11&gt;=1,"ปี",0)</f>
        <v>ปี</v>
      </c>
      <c r="U11" s="703"/>
      <c r="V11" s="640"/>
      <c r="W11" s="640"/>
      <c r="X11" s="659" t="s">
        <v>327</v>
      </c>
      <c r="Y11" s="1114">
        <v>50000</v>
      </c>
      <c r="Z11" s="1114"/>
      <c r="AA11" s="661" t="s">
        <v>2</v>
      </c>
    </row>
    <row r="12" spans="1:29" s="636" customFormat="1" ht="52.5" thickBot="1" x14ac:dyDescent="0.2">
      <c r="A12" s="675"/>
      <c r="B12" s="679"/>
      <c r="C12" s="678" t="str">
        <f>IF(K3&gt;K4,"เงินใช้หลังเกษียณรวม",0)</f>
        <v>เงินใช้หลังเกษียณรวม</v>
      </c>
      <c r="D12" s="678"/>
      <c r="E12" s="678"/>
      <c r="F12" s="678"/>
      <c r="G12" s="678"/>
      <c r="H12" s="1101">
        <f>(H11/30)*M8</f>
        <v>9125000</v>
      </c>
      <c r="I12" s="1102"/>
      <c r="J12" s="1103"/>
      <c r="K12" s="709" t="s">
        <v>2</v>
      </c>
      <c r="L12" s="678"/>
      <c r="M12" s="678"/>
      <c r="N12" s="678"/>
      <c r="O12" s="678"/>
      <c r="P12" s="678"/>
      <c r="Q12" s="678"/>
      <c r="R12" s="678"/>
      <c r="S12" s="678"/>
      <c r="T12" s="678"/>
      <c r="U12" s="704"/>
      <c r="V12" s="640"/>
      <c r="W12" s="640"/>
      <c r="X12" s="637"/>
      <c r="Y12" s="641"/>
      <c r="Z12" s="637"/>
    </row>
    <row r="13" spans="1:29" s="636" customFormat="1" ht="52.5" thickBot="1" x14ac:dyDescent="0.2">
      <c r="A13" s="676"/>
      <c r="B13" s="680"/>
      <c r="C13" s="687" t="str">
        <f>IF(K4&gt;K5,"วันนี้ต้องเก็บเงิน",0)</f>
        <v>วันนี้ต้องเก็บเงิน</v>
      </c>
      <c r="D13" s="687"/>
      <c r="E13" s="698"/>
      <c r="F13" s="698"/>
      <c r="G13" s="698"/>
      <c r="H13" s="1089">
        <f>(H12/I8)*30</f>
        <v>25000</v>
      </c>
      <c r="I13" s="1090"/>
      <c r="J13" s="1091"/>
      <c r="K13" s="714" t="str">
        <f>IF(K4&gt;K5,"/เดือน",0)</f>
        <v>/เดือน</v>
      </c>
      <c r="L13" s="714"/>
      <c r="M13" s="1092">
        <f>H13*12</f>
        <v>300000</v>
      </c>
      <c r="N13" s="1093"/>
      <c r="O13" s="1093"/>
      <c r="P13" s="1094"/>
      <c r="Q13" s="714" t="str">
        <f>IF(K4&gt;K5,"/ปี",0)</f>
        <v>/ปี</v>
      </c>
      <c r="R13" s="698"/>
      <c r="S13" s="715">
        <f>I9</f>
        <v>30</v>
      </c>
      <c r="T13" s="716" t="str">
        <f>IF(S13&gt;=1,"ปี",0)</f>
        <v>ปี</v>
      </c>
      <c r="U13" s="705"/>
      <c r="V13" s="640"/>
      <c r="W13" s="640"/>
      <c r="X13" s="637"/>
      <c r="Y13" s="641"/>
      <c r="Z13" s="637"/>
    </row>
    <row r="14" spans="1:29" ht="52.5" customHeight="1" thickBot="1" x14ac:dyDescent="0.2">
      <c r="A14" s="677"/>
      <c r="B14" s="681"/>
      <c r="C14" s="710" t="s">
        <v>7</v>
      </c>
      <c r="D14" s="710"/>
      <c r="E14" s="711"/>
      <c r="F14" s="711"/>
      <c r="G14" s="712"/>
      <c r="H14" s="1098">
        <f>IF(X9="Auto",AC3*0.0001,Y14)</f>
        <v>1.5000000000000001E-2</v>
      </c>
      <c r="I14" s="1099"/>
      <c r="J14" s="1100"/>
      <c r="K14" s="1097" t="s">
        <v>8</v>
      </c>
      <c r="L14" s="1097"/>
      <c r="M14" s="1115">
        <f>FV(H14*0.85/12,S13*12,-H13)</f>
        <v>10956405.431346795</v>
      </c>
      <c r="N14" s="1116"/>
      <c r="O14" s="1116"/>
      <c r="P14" s="1117"/>
      <c r="Q14" s="713" t="s">
        <v>2</v>
      </c>
      <c r="R14" s="706"/>
      <c r="S14" s="707"/>
      <c r="T14" s="708"/>
      <c r="U14" s="683"/>
      <c r="V14" s="638"/>
      <c r="W14" s="638"/>
      <c r="X14" s="660" t="s">
        <v>326</v>
      </c>
      <c r="Y14" s="1112">
        <v>0.02</v>
      </c>
      <c r="Z14" s="1112"/>
      <c r="AA14" s="1112"/>
    </row>
    <row r="15" spans="1:29" ht="53.25" customHeight="1" x14ac:dyDescent="0.15">
      <c r="A15" s="1095" t="str">
        <f>IF(K5&lt;=55,"ขอเสนอแนะนำโครงการของบริษัท ชับบ์ ไลฟ์ แอสชัวรันซ์ จำกัด (มหาชน)",0)</f>
        <v>ขอเสนอแนะนำโครงการของบริษัท ชับบ์ ไลฟ์ แอสชัวรันซ์ จำกัด (มหาชน)</v>
      </c>
      <c r="B15" s="1096"/>
      <c r="C15" s="1096"/>
      <c r="D15" s="1096"/>
      <c r="E15" s="1096"/>
      <c r="F15" s="1096"/>
      <c r="G15" s="1096"/>
      <c r="H15" s="1096"/>
      <c r="I15" s="1096"/>
      <c r="J15" s="1096"/>
      <c r="K15" s="1096"/>
      <c r="L15" s="1096"/>
      <c r="M15" s="1096"/>
      <c r="N15" s="1096"/>
      <c r="O15" s="1096"/>
      <c r="P15" s="1096"/>
      <c r="Q15" s="1096"/>
      <c r="R15" s="1096"/>
      <c r="S15" s="1096"/>
      <c r="T15" s="1096"/>
      <c r="U15" s="683"/>
      <c r="V15" s="638"/>
      <c r="W15" s="638"/>
    </row>
    <row r="16" spans="1:29" ht="53.25" customHeight="1" x14ac:dyDescent="0.15">
      <c r="A16" s="684"/>
      <c r="B16" s="685"/>
      <c r="C16" s="685"/>
      <c r="D16" s="685"/>
      <c r="E16" s="685"/>
      <c r="F16" s="685"/>
      <c r="G16" s="685"/>
      <c r="H16" s="685"/>
      <c r="I16" s="685"/>
      <c r="J16" s="685"/>
      <c r="K16" s="685"/>
      <c r="L16" s="685"/>
      <c r="M16" s="685"/>
      <c r="N16" s="685"/>
      <c r="O16" s="685"/>
      <c r="P16" s="685"/>
      <c r="Q16" s="685"/>
      <c r="R16" s="685"/>
      <c r="S16" s="685"/>
      <c r="T16" s="685"/>
      <c r="U16" s="686"/>
      <c r="V16" s="638"/>
      <c r="W16" s="638"/>
    </row>
    <row r="17" spans="1:23" ht="39" customHeight="1" x14ac:dyDescent="0.15">
      <c r="A17" s="645"/>
      <c r="B17" s="645"/>
      <c r="C17" s="645"/>
      <c r="D17" s="645"/>
      <c r="E17" s="645"/>
      <c r="F17" s="645"/>
      <c r="G17" s="645"/>
      <c r="H17" s="645"/>
      <c r="I17" s="645"/>
      <c r="J17" s="645"/>
      <c r="K17" s="645"/>
      <c r="L17" s="645"/>
      <c r="M17" s="645"/>
      <c r="N17" s="645"/>
      <c r="O17" s="645"/>
      <c r="P17" s="645"/>
      <c r="Q17" s="645"/>
      <c r="R17" s="645"/>
      <c r="S17" s="645"/>
      <c r="T17" s="645"/>
      <c r="U17" s="638"/>
      <c r="V17" s="638"/>
      <c r="W17" s="638"/>
    </row>
    <row r="18" spans="1:23" ht="67.900000000000006" customHeight="1" x14ac:dyDescent="0.15">
      <c r="A18" s="638"/>
      <c r="B18" s="638"/>
      <c r="U18" s="638"/>
      <c r="V18" s="638"/>
      <c r="W18" s="638"/>
    </row>
    <row r="19" spans="1:23" ht="24.95" customHeight="1" x14ac:dyDescent="0.15">
      <c r="B19" s="7"/>
      <c r="C19" s="7"/>
      <c r="D19" s="8"/>
      <c r="E19" s="9"/>
      <c r="F19" s="10"/>
      <c r="G19" s="11"/>
      <c r="L19" s="11"/>
      <c r="M19" s="12"/>
      <c r="N19" s="13"/>
      <c r="O19" s="13"/>
      <c r="P19" s="14"/>
      <c r="Q19" s="15"/>
      <c r="R19" s="15"/>
      <c r="S19" s="16"/>
      <c r="T19" s="17"/>
    </row>
    <row r="20" spans="1:23" ht="24.95" customHeight="1" x14ac:dyDescent="0.15">
      <c r="B20" s="7"/>
      <c r="E20" s="639"/>
      <c r="F20" s="639"/>
      <c r="G20" s="639"/>
      <c r="L20" s="639"/>
      <c r="M20" s="639"/>
      <c r="N20" s="639"/>
      <c r="O20" s="639"/>
      <c r="P20" s="639"/>
      <c r="Q20" s="639"/>
      <c r="R20" s="639"/>
    </row>
    <row r="21" spans="1:23" ht="24.95" customHeight="1" x14ac:dyDescent="0.15">
      <c r="B21" s="7"/>
      <c r="C21" s="7"/>
      <c r="D21" s="8"/>
      <c r="E21" s="9"/>
      <c r="F21" s="10"/>
      <c r="G21" s="11"/>
      <c r="L21" s="11"/>
      <c r="M21" s="12"/>
      <c r="N21" s="13"/>
      <c r="O21" s="13"/>
      <c r="P21" s="14"/>
      <c r="Q21" s="15"/>
      <c r="R21" s="15"/>
      <c r="S21" s="16"/>
      <c r="T21" s="17"/>
    </row>
    <row r="22" spans="1:23" ht="24.95" customHeight="1" x14ac:dyDescent="0.15">
      <c r="B22" s="7"/>
      <c r="C22" s="7"/>
      <c r="D22" s="8"/>
      <c r="E22" s="18"/>
      <c r="F22" s="10"/>
      <c r="G22" s="11"/>
      <c r="L22" s="11"/>
      <c r="M22" s="12"/>
      <c r="N22" s="13"/>
      <c r="O22" s="13"/>
      <c r="P22" s="14"/>
      <c r="Q22" s="15"/>
      <c r="R22" s="15"/>
      <c r="S22" s="16"/>
      <c r="T22" s="17"/>
    </row>
    <row r="23" spans="1:23" ht="24.95" customHeight="1" x14ac:dyDescent="0.15">
      <c r="B23" s="7"/>
      <c r="C23" s="7"/>
      <c r="D23" s="8"/>
      <c r="E23" s="18"/>
      <c r="F23" s="10"/>
      <c r="G23" s="11"/>
      <c r="L23" s="11"/>
      <c r="M23" s="12"/>
      <c r="N23" s="13"/>
      <c r="O23" s="13"/>
      <c r="P23" s="14"/>
      <c r="Q23" s="15"/>
      <c r="R23" s="15"/>
      <c r="S23" s="16"/>
      <c r="T23" s="17"/>
    </row>
    <row r="24" spans="1:23" ht="24.95" customHeight="1" x14ac:dyDescent="0.15">
      <c r="B24" s="7"/>
      <c r="C24" s="7"/>
      <c r="D24" s="8"/>
      <c r="E24" s="9"/>
      <c r="F24" s="10"/>
      <c r="G24" s="11"/>
      <c r="L24" s="11"/>
      <c r="M24" s="12"/>
      <c r="N24" s="13"/>
      <c r="O24" s="13"/>
      <c r="P24" s="14"/>
      <c r="Q24" s="15"/>
      <c r="R24" s="15"/>
      <c r="S24" s="16"/>
      <c r="T24" s="17"/>
    </row>
    <row r="25" spans="1:23" ht="24.95" customHeight="1" x14ac:dyDescent="0.15">
      <c r="B25" s="7"/>
      <c r="C25" s="7"/>
      <c r="D25" s="8"/>
      <c r="E25" s="18"/>
      <c r="F25" s="10"/>
      <c r="G25" s="11"/>
      <c r="L25" s="11"/>
      <c r="M25" s="12"/>
      <c r="N25" s="13"/>
      <c r="O25" s="13"/>
      <c r="P25" s="14"/>
      <c r="Q25" s="15"/>
      <c r="R25" s="15"/>
      <c r="S25" s="16"/>
      <c r="T25" s="17"/>
    </row>
    <row r="26" spans="1:23" ht="24.95" customHeight="1" x14ac:dyDescent="0.15">
      <c r="B26" s="7"/>
      <c r="C26" s="7"/>
      <c r="D26" s="8"/>
      <c r="E26" s="18"/>
      <c r="F26" s="10"/>
      <c r="G26" s="11"/>
      <c r="H26" s="12"/>
      <c r="I26" s="13"/>
      <c r="J26" s="10"/>
      <c r="K26" s="11"/>
      <c r="L26" s="11"/>
      <c r="M26" s="12"/>
      <c r="N26" s="13"/>
      <c r="O26" s="13"/>
      <c r="P26" s="14"/>
      <c r="Q26" s="15"/>
      <c r="R26" s="15"/>
      <c r="S26" s="16"/>
      <c r="T26" s="17"/>
    </row>
    <row r="27" spans="1:23" ht="24.95" customHeight="1" x14ac:dyDescent="0.15">
      <c r="B27" s="7"/>
      <c r="C27" s="7"/>
      <c r="D27" s="8"/>
      <c r="E27" s="18"/>
      <c r="F27" s="10"/>
      <c r="G27" s="11"/>
      <c r="H27" s="12"/>
      <c r="I27" s="13"/>
      <c r="J27" s="10"/>
      <c r="K27" s="11"/>
      <c r="L27" s="11"/>
      <c r="M27" s="12"/>
      <c r="N27" s="13"/>
      <c r="O27" s="13"/>
      <c r="P27" s="14"/>
      <c r="Q27" s="15"/>
      <c r="R27" s="15"/>
      <c r="S27" s="16"/>
      <c r="T27" s="17"/>
    </row>
    <row r="28" spans="1:23" ht="30" customHeight="1" x14ac:dyDescent="0.15">
      <c r="B28" s="19"/>
      <c r="C28" s="19"/>
      <c r="D28" s="20"/>
      <c r="E28" s="21"/>
      <c r="F28" s="10"/>
      <c r="G28" s="11"/>
      <c r="H28" s="12"/>
      <c r="I28" s="13"/>
      <c r="J28" s="10"/>
      <c r="K28" s="11"/>
      <c r="L28" s="11"/>
      <c r="M28" s="12"/>
      <c r="N28" s="13"/>
      <c r="O28" s="13"/>
      <c r="P28" s="14"/>
      <c r="Q28" s="15"/>
      <c r="R28" s="15"/>
      <c r="S28" s="16"/>
      <c r="T28" s="17"/>
    </row>
  </sheetData>
  <sheetProtection algorithmName="SHA-512" hashValue="3sbQVXDNrLfvCf18nBkZJW964wLTTNBFX+zoyY8t8A6mWsz4C7sL1sd9YmZLmt2+7RFJDorTHD0/hBAQa+JgtA==" saltValue="jjoH4l6q+Ion9i7fP0Q1Gw==" spinCount="100000" sheet="1" objects="1" scenarios="1" selectLockedCells="1"/>
  <protectedRanges>
    <protectedRange sqref="H12:J12 K3:K5 I6" name="ช่วง1"/>
  </protectedRanges>
  <customSheetViews>
    <customSheetView guid="{82B311FB-57F0-41B4-A7C3-5882014D86A1}" scale="70" showGridLines="0" fitToPage="1" hiddenColumns="1" showRuler="0">
      <selection activeCell="X9" sqref="X9:AA10"/>
      <pageMargins left="0" right="0" top="0" bottom="0" header="0" footer="0"/>
      <printOptions horizontalCentered="1" verticalCentered="1"/>
      <pageSetup paperSize="9" scale="86" orientation="landscape" horizontalDpi="300" verticalDpi="300" r:id="rId1"/>
      <headerFooter alignWithMargins="0"/>
    </customSheetView>
    <customSheetView guid="{5CD23BB7-2785-4476-8463-E6A82DD3A526}" scale="70" hiddenColumns="1" showRuler="0" topLeftCell="C1">
      <selection activeCell="W2" sqref="W2"/>
      <pageMargins left="0" right="0" top="0" bottom="0" header="0" footer="0"/>
      <printOptions horizontalCentered="1" verticalCentered="1"/>
      <pageSetup paperSize="9" orientation="landscape" horizontalDpi="300" verticalDpi="300" r:id="rId2"/>
      <headerFooter alignWithMargins="0"/>
    </customSheetView>
    <customSheetView guid="{667EEF7A-262F-4932-80D5-D47443835FA2}" scale="70" showPageBreaks="1" showGridLines="0" printArea="1" hiddenColumns="1" showRuler="0">
      <selection activeCell="C8" sqref="C8:D8"/>
      <pageMargins left="0" right="0" top="0" bottom="0" header="0" footer="0"/>
      <printOptions horizontalCentered="1" verticalCentered="1"/>
      <pageSetup paperSize="9" scale="87" orientation="landscape" horizontalDpi="300" verticalDpi="300" r:id="rId3"/>
      <headerFooter alignWithMargins="0"/>
    </customSheetView>
    <customSheetView guid="{00AC2CC8-9B9F-4979-A039-643E7B67D066}" scale="70" showGridLines="0" fitToPage="1" hiddenColumns="1" showRuler="0">
      <selection activeCell="K20" sqref="K20"/>
      <pageMargins left="0" right="0" top="0" bottom="0" header="0" footer="0"/>
      <printOptions horizontalCentered="1" verticalCentered="1"/>
      <pageSetup paperSize="9" scale="86" orientation="landscape" horizontalDpi="300" verticalDpi="300" r:id="rId4"/>
      <headerFooter alignWithMargins="0"/>
    </customSheetView>
  </customSheetViews>
  <mergeCells count="34">
    <mergeCell ref="Y14:AA14"/>
    <mergeCell ref="X8:AA8"/>
    <mergeCell ref="X9:AA10"/>
    <mergeCell ref="Y11:Z11"/>
    <mergeCell ref="I7:L7"/>
    <mergeCell ref="M14:P14"/>
    <mergeCell ref="C9:D9"/>
    <mergeCell ref="H13:J13"/>
    <mergeCell ref="M13:P13"/>
    <mergeCell ref="A15:T15"/>
    <mergeCell ref="K14:L14"/>
    <mergeCell ref="H14:J14"/>
    <mergeCell ref="H12:J12"/>
    <mergeCell ref="H11:J11"/>
    <mergeCell ref="M11:P11"/>
    <mergeCell ref="I9:L9"/>
    <mergeCell ref="M9:S9"/>
    <mergeCell ref="E9:H9"/>
    <mergeCell ref="O3:P3"/>
    <mergeCell ref="D2:E2"/>
    <mergeCell ref="C7:D7"/>
    <mergeCell ref="C8:D8"/>
    <mergeCell ref="A5:C5"/>
    <mergeCell ref="D5:E5"/>
    <mergeCell ref="D4:E4"/>
    <mergeCell ref="D3:E3"/>
    <mergeCell ref="H3:J3"/>
    <mergeCell ref="H4:J4"/>
    <mergeCell ref="H5:J5"/>
    <mergeCell ref="E7:H7"/>
    <mergeCell ref="M7:S7"/>
    <mergeCell ref="E8:H8"/>
    <mergeCell ref="I8:L8"/>
    <mergeCell ref="M8:S8"/>
  </mergeCells>
  <phoneticPr fontId="3" type="noConversion"/>
  <dataValidations count="1">
    <dataValidation type="list" allowBlank="1" showInputMessage="1" showErrorMessage="1" sqref="X9" xr:uid="{AC2DE220-163D-4F7B-A846-BDA1415CCFE9}">
      <formula1>"Auto,Manual"</formula1>
    </dataValidation>
  </dataValidations>
  <printOptions horizontalCentered="1" verticalCentered="1"/>
  <pageMargins left="0" right="0" top="0" bottom="0" header="0" footer="0"/>
  <pageSetup paperSize="9" scale="86" orientation="landscape" horizontalDpi="300" verticalDpi="300" r:id="rId5"/>
  <headerFooter alignWithMargins="0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20" r:id="rId8" name="Spinner 4">
              <controlPr defaultSize="0" autoPict="0">
                <anchor moveWithCells="1" sizeWithCells="1">
                  <from>
                    <xdr:col>11</xdr:col>
                    <xdr:colOff>30480</xdr:colOff>
                    <xdr:row>1</xdr:row>
                    <xdr:rowOff>655320</xdr:rowOff>
                  </from>
                  <to>
                    <xdr:col>11</xdr:col>
                    <xdr:colOff>274320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9" name="Spinner 5">
              <controlPr defaultSize="0" autoPict="0">
                <anchor moveWithCells="1" sizeWithCells="1">
                  <from>
                    <xdr:col>11</xdr:col>
                    <xdr:colOff>30480</xdr:colOff>
                    <xdr:row>2</xdr:row>
                    <xdr:rowOff>525780</xdr:rowOff>
                  </from>
                  <to>
                    <xdr:col>11</xdr:col>
                    <xdr:colOff>274320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2" r:id="rId10" name="Spinner 6">
              <controlPr defaultSize="0" autoPict="0">
                <anchor moveWithCells="1" sizeWithCells="1">
                  <from>
                    <xdr:col>11</xdr:col>
                    <xdr:colOff>30480</xdr:colOff>
                    <xdr:row>4</xdr:row>
                    <xdr:rowOff>7620</xdr:rowOff>
                  </from>
                  <to>
                    <xdr:col>11</xdr:col>
                    <xdr:colOff>274320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2" r:id="rId11" name="Spinner 36">
              <controlPr defaultSize="0" autoPict="0">
                <anchor moveWithCells="1" sizeWithCells="1">
                  <from>
                    <xdr:col>5</xdr:col>
                    <xdr:colOff>7620</xdr:colOff>
                    <xdr:row>4</xdr:row>
                    <xdr:rowOff>0</xdr:rowOff>
                  </from>
                  <to>
                    <xdr:col>5</xdr:col>
                    <xdr:colOff>289560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5" r:id="rId12" name="Spinner 39">
              <controlPr defaultSize="0" autoPict="0">
                <anchor moveWithCells="1" sizeWithCells="1">
                  <from>
                    <xdr:col>10</xdr:col>
                    <xdr:colOff>22860</xdr:colOff>
                    <xdr:row>10</xdr:row>
                    <xdr:rowOff>0</xdr:rowOff>
                  </from>
                  <to>
                    <xdr:col>10</xdr:col>
                    <xdr:colOff>297180</xdr:colOff>
                    <xdr:row>10</xdr:row>
                    <xdr:rowOff>655320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6" r:id="rId13" name="Spinner 40">
              <controlPr defaultSize="0" autoPict="0">
                <anchor moveWithCells="1" sizeWithCells="1">
                  <from>
                    <xdr:col>10</xdr:col>
                    <xdr:colOff>22860</xdr:colOff>
                    <xdr:row>12</xdr:row>
                    <xdr:rowOff>655320</xdr:rowOff>
                  </from>
                  <to>
                    <xdr:col>10</xdr:col>
                    <xdr:colOff>297180</xdr:colOff>
                    <xdr:row>13</xdr:row>
                    <xdr:rowOff>655320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rgb="FF0070C0"/>
    <pageSetUpPr fitToPage="1"/>
  </sheetPr>
  <dimension ref="A1:AF65"/>
  <sheetViews>
    <sheetView showGridLines="0" zoomScale="70" workbookViewId="0">
      <selection activeCell="H2" sqref="H2"/>
    </sheetView>
  </sheetViews>
  <sheetFormatPr defaultColWidth="9.16796875" defaultRowHeight="37.5" x14ac:dyDescent="0.15"/>
  <cols>
    <col min="1" max="1" width="4.71875" style="22" customWidth="1"/>
    <col min="2" max="2" width="7.4140625" style="22" bestFit="1" customWidth="1"/>
    <col min="3" max="3" width="17.93359375" style="22" bestFit="1" customWidth="1"/>
    <col min="4" max="4" width="16.44921875" style="22" customWidth="1"/>
    <col min="5" max="5" width="4.44921875" style="22" customWidth="1"/>
    <col min="6" max="6" width="11.4609375" style="22" customWidth="1"/>
    <col min="7" max="7" width="13.6171875" style="22" customWidth="1"/>
    <col min="8" max="8" width="19.55078125" style="22" customWidth="1"/>
    <col min="9" max="9" width="17.93359375" style="22" customWidth="1"/>
    <col min="10" max="10" width="10.3828125" style="22" customWidth="1"/>
    <col min="11" max="11" width="2.2890625" style="22" customWidth="1"/>
    <col min="12" max="12" width="10.3828125" style="22" bestFit="1" customWidth="1"/>
    <col min="13" max="13" width="0.94140625" style="22" customWidth="1"/>
    <col min="14" max="14" width="7.01171875" style="22" customWidth="1"/>
    <col min="15" max="15" width="0.94140625" style="22" customWidth="1"/>
    <col min="16" max="16" width="8.4921875" style="22" customWidth="1"/>
    <col min="17" max="17" width="4.58203125" style="22" customWidth="1"/>
    <col min="18" max="26" width="9.16796875" style="22"/>
    <col min="27" max="27" width="11.0546875" style="22" hidden="1" customWidth="1"/>
    <col min="28" max="28" width="13.21484375" style="22" hidden="1" customWidth="1"/>
    <col min="29" max="29" width="16.71875" style="22" hidden="1" customWidth="1"/>
    <col min="30" max="30" width="13.078125" style="22" hidden="1" customWidth="1"/>
    <col min="31" max="31" width="15.5078125" style="22" hidden="1" customWidth="1"/>
    <col min="32" max="32" width="12" style="22" hidden="1" customWidth="1"/>
    <col min="33" max="16384" width="9.16796875" style="22"/>
  </cols>
  <sheetData>
    <row r="1" spans="1:32" ht="23.45" customHeight="1" thickBot="1" x14ac:dyDescent="0.2">
      <c r="A1" s="290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</row>
    <row r="2" spans="1:32" ht="27.75" customHeight="1" thickBot="1" x14ac:dyDescent="0.2">
      <c r="A2" s="290"/>
      <c r="B2" s="290"/>
      <c r="C2" s="290"/>
      <c r="D2" s="290"/>
      <c r="E2" s="290"/>
      <c r="F2" s="290"/>
      <c r="G2" s="1123" t="s">
        <v>101</v>
      </c>
      <c r="H2" s="658" t="s">
        <v>333</v>
      </c>
      <c r="I2" s="321"/>
      <c r="J2" s="291"/>
      <c r="K2" s="290"/>
      <c r="L2" s="290"/>
      <c r="M2" s="290"/>
      <c r="N2" s="290"/>
      <c r="O2" s="290"/>
      <c r="P2" s="290"/>
      <c r="Q2" s="290"/>
      <c r="AA2" s="650"/>
      <c r="AB2" s="222" t="s">
        <v>168</v>
      </c>
      <c r="AC2" s="222" t="s">
        <v>171</v>
      </c>
      <c r="AD2" s="223" t="s">
        <v>169</v>
      </c>
      <c r="AE2" s="223" t="s">
        <v>170</v>
      </c>
      <c r="AF2" s="223" t="s">
        <v>173</v>
      </c>
    </row>
    <row r="3" spans="1:32" ht="27.75" customHeight="1" x14ac:dyDescent="0.15">
      <c r="A3" s="290"/>
      <c r="B3" s="290"/>
      <c r="C3" s="290"/>
      <c r="D3" s="290"/>
      <c r="E3" s="290"/>
      <c r="F3" s="290"/>
      <c r="G3" s="1124"/>
      <c r="H3" s="236">
        <f>IF(AND(L3&gt;=0,L3&lt;=60),VLOOKUP(H2,AB3:AE20,2,0),"อายุทำไม่ได้")</f>
        <v>275000</v>
      </c>
      <c r="I3" s="322" t="s">
        <v>172</v>
      </c>
      <c r="J3" s="1118" t="s">
        <v>92</v>
      </c>
      <c r="K3" s="1118"/>
      <c r="L3" s="233">
        <f>TIME!K5</f>
        <v>30</v>
      </c>
      <c r="M3" s="318"/>
      <c r="N3" s="318"/>
      <c r="O3" s="290"/>
      <c r="P3" s="290"/>
      <c r="Q3" s="290"/>
      <c r="AA3" s="650"/>
      <c r="AB3" s="222" t="s">
        <v>0</v>
      </c>
      <c r="AC3" s="654"/>
      <c r="AD3" s="654">
        <v>0</v>
      </c>
      <c r="AE3" s="654">
        <v>0</v>
      </c>
      <c r="AF3" s="654">
        <v>0</v>
      </c>
    </row>
    <row r="4" spans="1:32" ht="27.75" customHeight="1" thickBot="1" x14ac:dyDescent="0.2">
      <c r="A4" s="290"/>
      <c r="B4" s="290"/>
      <c r="C4" s="290"/>
      <c r="D4" s="290"/>
      <c r="E4" s="290"/>
      <c r="F4" s="290"/>
      <c r="G4" s="282" t="s">
        <v>23</v>
      </c>
      <c r="H4" s="351">
        <f>IF(AND(L3&gt;=0,L3&lt;=60),VLOOKUP(H2,AB3:AE20,3,0),0)</f>
        <v>1400</v>
      </c>
      <c r="I4" s="352" t="s">
        <v>24</v>
      </c>
      <c r="J4" s="1119" t="s">
        <v>93</v>
      </c>
      <c r="K4" s="1119"/>
      <c r="L4" s="234">
        <f>TIME!D5</f>
        <v>2569</v>
      </c>
      <c r="M4" s="319"/>
      <c r="N4" s="319"/>
      <c r="O4" s="290"/>
      <c r="P4" s="290"/>
      <c r="Q4" s="290"/>
      <c r="AA4" s="1128" t="s">
        <v>341</v>
      </c>
      <c r="AB4" s="224" t="s">
        <v>333</v>
      </c>
      <c r="AC4" s="223">
        <v>275000</v>
      </c>
      <c r="AD4" s="654">
        <v>1400</v>
      </c>
      <c r="AE4" s="654">
        <f>AD4*0.09</f>
        <v>126</v>
      </c>
      <c r="AF4" s="655">
        <v>0.06</v>
      </c>
    </row>
    <row r="5" spans="1:32" ht="27.75" customHeight="1" thickBot="1" x14ac:dyDescent="0.2">
      <c r="A5" s="290"/>
      <c r="B5" s="309"/>
      <c r="C5" s="293"/>
      <c r="D5" s="309"/>
      <c r="E5" s="309"/>
      <c r="F5" s="290"/>
      <c r="G5" s="282"/>
      <c r="H5" s="235">
        <v>30</v>
      </c>
      <c r="I5" s="323" t="s">
        <v>25</v>
      </c>
      <c r="J5" s="320"/>
      <c r="K5" s="320"/>
      <c r="L5" s="320"/>
      <c r="M5" s="320"/>
      <c r="N5" s="320"/>
      <c r="O5" s="290"/>
      <c r="P5" s="290"/>
      <c r="Q5" s="290"/>
      <c r="AA5" s="1128"/>
      <c r="AB5" s="224" t="s">
        <v>334</v>
      </c>
      <c r="AC5" s="223">
        <v>350000</v>
      </c>
      <c r="AD5" s="654">
        <v>1800</v>
      </c>
      <c r="AE5" s="654">
        <f t="shared" ref="AE5:AE19" si="0">AD5*0.09</f>
        <v>162</v>
      </c>
      <c r="AF5" s="655">
        <v>0.06</v>
      </c>
    </row>
    <row r="6" spans="1:32" ht="27.75" customHeight="1" thickBot="1" x14ac:dyDescent="0.2">
      <c r="A6" s="290"/>
      <c r="B6" s="275" t="s">
        <v>26</v>
      </c>
      <c r="C6" s="276" t="str">
        <f>IF(H5&gt;=1,"FYP",0)</f>
        <v>FYP</v>
      </c>
      <c r="D6" s="277" t="str">
        <f>IF(AND(H5&gt;=1,H2&lt;&gt;"PARD1"),"Com.6%",IF(AND(H5&gt;=1,H2="PARD1"),"Com.20%",0))</f>
        <v>Com.6%</v>
      </c>
      <c r="E6" s="314"/>
      <c r="F6" s="290"/>
      <c r="G6" s="288" t="str">
        <f>IF(H5&gt;=1,"Total",0)</f>
        <v>Total</v>
      </c>
      <c r="H6" s="353">
        <f>H4*H5</f>
        <v>42000</v>
      </c>
      <c r="I6" s="354" t="str">
        <f>IF(H5&gt;=1,"  Baht/M.",0)</f>
        <v xml:space="preserve">  Baht/M.</v>
      </c>
      <c r="J6" s="291"/>
      <c r="K6" s="290"/>
      <c r="L6" s="290"/>
      <c r="M6" s="290"/>
      <c r="N6" s="290"/>
      <c r="O6" s="290"/>
      <c r="P6" s="290"/>
      <c r="Q6" s="290"/>
      <c r="AA6" s="1128"/>
      <c r="AB6" s="224" t="s">
        <v>335</v>
      </c>
      <c r="AC6" s="223">
        <v>550000</v>
      </c>
      <c r="AD6" s="654">
        <v>2600</v>
      </c>
      <c r="AE6" s="654">
        <f t="shared" si="0"/>
        <v>234</v>
      </c>
      <c r="AF6" s="655">
        <v>0.06</v>
      </c>
    </row>
    <row r="7" spans="1:32" ht="27.75" customHeight="1" thickBot="1" x14ac:dyDescent="0.2">
      <c r="A7" s="290"/>
      <c r="B7" s="281">
        <v>1</v>
      </c>
      <c r="C7" s="343">
        <f>H6</f>
        <v>42000</v>
      </c>
      <c r="D7" s="225">
        <f>C7*VLOOKUP($H$2,$AB$3:$AF$20,5,0)</f>
        <v>2520</v>
      </c>
      <c r="E7" s="315"/>
      <c r="F7" s="291"/>
      <c r="G7" s="291"/>
      <c r="H7" s="291"/>
      <c r="I7" s="314"/>
      <c r="J7" s="298"/>
      <c r="K7" s="290"/>
      <c r="L7" s="290"/>
      <c r="M7" s="290"/>
      <c r="N7" s="290"/>
      <c r="O7" s="290"/>
      <c r="P7" s="290"/>
      <c r="Q7" s="290"/>
      <c r="AA7" s="1128"/>
      <c r="AB7" s="651" t="s">
        <v>336</v>
      </c>
      <c r="AC7" s="223">
        <v>750000</v>
      </c>
      <c r="AD7" s="654">
        <v>3600</v>
      </c>
      <c r="AE7" s="654">
        <f t="shared" si="0"/>
        <v>324</v>
      </c>
      <c r="AF7" s="655">
        <v>0.06</v>
      </c>
    </row>
    <row r="8" spans="1:32" ht="27.75" customHeight="1" x14ac:dyDescent="0.15">
      <c r="A8" s="290"/>
      <c r="B8" s="282">
        <v>2</v>
      </c>
      <c r="C8" s="344">
        <f t="shared" ref="C8:C18" si="1">C7</f>
        <v>42000</v>
      </c>
      <c r="D8" s="225">
        <f>C8*VLOOKUP($H$2,$AB$3:$AF$20,5,0)</f>
        <v>2520</v>
      </c>
      <c r="E8" s="315"/>
      <c r="F8" s="278" t="s">
        <v>27</v>
      </c>
      <c r="G8" s="1121" t="str">
        <f>IF(H5&gt;=1,"FYP",0)</f>
        <v>FYP</v>
      </c>
      <c r="H8" s="1121"/>
      <c r="I8" s="1121" t="s">
        <v>16</v>
      </c>
      <c r="J8" s="1122"/>
      <c r="K8" s="324"/>
      <c r="L8" s="279" t="str">
        <f>IF(H5&gt;=1,"Cases",0)</f>
        <v>Cases</v>
      </c>
      <c r="M8" s="324"/>
      <c r="N8" s="279" t="str">
        <f>IF(H5&gt;=1,"Age",0)</f>
        <v>Age</v>
      </c>
      <c r="O8" s="325"/>
      <c r="P8" s="280" t="s">
        <v>28</v>
      </c>
      <c r="Q8" s="290"/>
      <c r="AA8" s="1128"/>
      <c r="AB8" s="224" t="s">
        <v>337</v>
      </c>
      <c r="AC8" s="223">
        <v>1000000</v>
      </c>
      <c r="AD8" s="654">
        <v>4400</v>
      </c>
      <c r="AE8" s="654">
        <f t="shared" si="0"/>
        <v>396</v>
      </c>
      <c r="AF8" s="655">
        <v>0.06</v>
      </c>
    </row>
    <row r="9" spans="1:32" ht="27.75" customHeight="1" x14ac:dyDescent="0.15">
      <c r="A9" s="290"/>
      <c r="B9" s="282">
        <v>3</v>
      </c>
      <c r="C9" s="344">
        <f>C8</f>
        <v>42000</v>
      </c>
      <c r="D9" s="225">
        <f t="shared" ref="D9:D18" si="2">C9*VLOOKUP($H$2,$AB$3:$AF$20,5,0)</f>
        <v>2520</v>
      </c>
      <c r="E9" s="315"/>
      <c r="F9" s="285">
        <v>1</v>
      </c>
      <c r="G9" s="1127">
        <f>C20</f>
        <v>504000</v>
      </c>
      <c r="H9" s="1127"/>
      <c r="I9" s="1136">
        <f>D20</f>
        <v>30240</v>
      </c>
      <c r="J9" s="1137"/>
      <c r="K9" s="306"/>
      <c r="L9" s="347">
        <f>H5*12</f>
        <v>360</v>
      </c>
      <c r="M9" s="306"/>
      <c r="N9" s="226">
        <f>IF($L$3&gt;=1,$L$3,0)</f>
        <v>30</v>
      </c>
      <c r="O9" s="325"/>
      <c r="P9" s="229">
        <f>L4</f>
        <v>2569</v>
      </c>
      <c r="Q9" s="290"/>
      <c r="AA9" s="1128"/>
      <c r="AB9" s="224" t="s">
        <v>338</v>
      </c>
      <c r="AC9" s="223">
        <v>2000000</v>
      </c>
      <c r="AD9" s="654">
        <v>7700</v>
      </c>
      <c r="AE9" s="654">
        <f t="shared" si="0"/>
        <v>693</v>
      </c>
      <c r="AF9" s="655">
        <v>0.06</v>
      </c>
    </row>
    <row r="10" spans="1:32" ht="27.75" customHeight="1" x14ac:dyDescent="0.15">
      <c r="A10" s="290"/>
      <c r="B10" s="282">
        <v>4</v>
      </c>
      <c r="C10" s="344">
        <f t="shared" si="1"/>
        <v>42000</v>
      </c>
      <c r="D10" s="225">
        <f t="shared" si="2"/>
        <v>2520</v>
      </c>
      <c r="E10" s="315"/>
      <c r="F10" s="286">
        <v>2</v>
      </c>
      <c r="G10" s="1120">
        <f>G9*2</f>
        <v>1008000</v>
      </c>
      <c r="H10" s="1120"/>
      <c r="I10" s="1125">
        <f>I9*2</f>
        <v>60480</v>
      </c>
      <c r="J10" s="1126"/>
      <c r="K10" s="306"/>
      <c r="L10" s="348">
        <f>L9*2</f>
        <v>720</v>
      </c>
      <c r="M10" s="306"/>
      <c r="N10" s="227">
        <f>IF($L$3&gt;=1,$L$3+1,0)</f>
        <v>31</v>
      </c>
      <c r="O10" s="325"/>
      <c r="P10" s="230">
        <f>P9+1</f>
        <v>2570</v>
      </c>
      <c r="Q10" s="290"/>
      <c r="AA10" s="1128"/>
      <c r="AB10" s="224" t="s">
        <v>339</v>
      </c>
      <c r="AC10" s="223">
        <v>3000000</v>
      </c>
      <c r="AD10" s="654">
        <v>10500</v>
      </c>
      <c r="AE10" s="654">
        <f t="shared" si="0"/>
        <v>945</v>
      </c>
      <c r="AF10" s="655">
        <v>0.06</v>
      </c>
    </row>
    <row r="11" spans="1:32" ht="27.75" customHeight="1" x14ac:dyDescent="0.15">
      <c r="A11" s="290"/>
      <c r="B11" s="282">
        <v>5</v>
      </c>
      <c r="C11" s="344">
        <f t="shared" si="1"/>
        <v>42000</v>
      </c>
      <c r="D11" s="225">
        <f t="shared" si="2"/>
        <v>2520</v>
      </c>
      <c r="E11" s="315"/>
      <c r="F11" s="286">
        <v>3</v>
      </c>
      <c r="G11" s="1120">
        <f>G9*3</f>
        <v>1512000</v>
      </c>
      <c r="H11" s="1120"/>
      <c r="I11" s="1125">
        <f>I9*3</f>
        <v>90720</v>
      </c>
      <c r="J11" s="1126"/>
      <c r="K11" s="306"/>
      <c r="L11" s="348">
        <f>L9*3</f>
        <v>1080</v>
      </c>
      <c r="M11" s="306"/>
      <c r="N11" s="227">
        <f>IF($L$3&gt;=1,$L$3+2,0)</f>
        <v>32</v>
      </c>
      <c r="O11" s="325"/>
      <c r="P11" s="230">
        <f t="shared" ref="P11:P18" si="3">P10+1</f>
        <v>2571</v>
      </c>
      <c r="Q11" s="290"/>
      <c r="AA11" s="1128"/>
      <c r="AB11" s="224" t="s">
        <v>340</v>
      </c>
      <c r="AC11" s="223">
        <v>5000000</v>
      </c>
      <c r="AD11" s="654">
        <v>16500</v>
      </c>
      <c r="AE11" s="654">
        <f t="shared" si="0"/>
        <v>1485</v>
      </c>
      <c r="AF11" s="655">
        <v>0.06</v>
      </c>
    </row>
    <row r="12" spans="1:32" ht="27.75" customHeight="1" x14ac:dyDescent="0.15">
      <c r="A12" s="290"/>
      <c r="B12" s="282">
        <v>6</v>
      </c>
      <c r="C12" s="344">
        <f t="shared" si="1"/>
        <v>42000</v>
      </c>
      <c r="D12" s="225">
        <f t="shared" si="2"/>
        <v>2520</v>
      </c>
      <c r="E12" s="315"/>
      <c r="F12" s="286">
        <v>4</v>
      </c>
      <c r="G12" s="1120">
        <f>G9*4</f>
        <v>2016000</v>
      </c>
      <c r="H12" s="1120"/>
      <c r="I12" s="1125">
        <f>I9*4</f>
        <v>120960</v>
      </c>
      <c r="J12" s="1126"/>
      <c r="K12" s="306"/>
      <c r="L12" s="348">
        <f>L9*4</f>
        <v>1440</v>
      </c>
      <c r="M12" s="306"/>
      <c r="N12" s="227">
        <f>IF($L$3&gt;=1,$L$3+3,0)</f>
        <v>33</v>
      </c>
      <c r="O12" s="325"/>
      <c r="P12" s="230">
        <f t="shared" si="3"/>
        <v>2572</v>
      </c>
      <c r="Q12" s="290"/>
      <c r="AA12" s="1129" t="s">
        <v>342</v>
      </c>
      <c r="AB12" s="652" t="s">
        <v>343</v>
      </c>
      <c r="AC12" s="656">
        <v>275000</v>
      </c>
      <c r="AD12" s="656">
        <v>1358</v>
      </c>
      <c r="AE12" s="657">
        <f t="shared" si="0"/>
        <v>122.22</v>
      </c>
      <c r="AF12" s="653">
        <v>0.06</v>
      </c>
    </row>
    <row r="13" spans="1:32" ht="27.75" customHeight="1" x14ac:dyDescent="0.15">
      <c r="A13" s="290"/>
      <c r="B13" s="282">
        <v>7</v>
      </c>
      <c r="C13" s="344">
        <f t="shared" si="1"/>
        <v>42000</v>
      </c>
      <c r="D13" s="225">
        <f t="shared" si="2"/>
        <v>2520</v>
      </c>
      <c r="E13" s="315"/>
      <c r="F13" s="286">
        <v>5</v>
      </c>
      <c r="G13" s="1120">
        <f>G9*5</f>
        <v>2520000</v>
      </c>
      <c r="H13" s="1120"/>
      <c r="I13" s="1125">
        <f>I9*5</f>
        <v>151200</v>
      </c>
      <c r="J13" s="1126"/>
      <c r="K13" s="306"/>
      <c r="L13" s="348">
        <f>L9*5</f>
        <v>1800</v>
      </c>
      <c r="M13" s="306"/>
      <c r="N13" s="227">
        <f>IF($L$3&gt;=1,$L$3+4,0)</f>
        <v>34</v>
      </c>
      <c r="O13" s="325"/>
      <c r="P13" s="230">
        <f t="shared" si="3"/>
        <v>2573</v>
      </c>
      <c r="Q13" s="290"/>
      <c r="AA13" s="1129"/>
      <c r="AB13" s="652" t="s">
        <v>344</v>
      </c>
      <c r="AC13" s="656">
        <v>350000</v>
      </c>
      <c r="AD13" s="656">
        <v>1746</v>
      </c>
      <c r="AE13" s="657">
        <f t="shared" si="0"/>
        <v>157.13999999999999</v>
      </c>
      <c r="AF13" s="653">
        <v>0.06</v>
      </c>
    </row>
    <row r="14" spans="1:32" ht="27.75" customHeight="1" x14ac:dyDescent="0.15">
      <c r="A14" s="290"/>
      <c r="B14" s="282">
        <v>8</v>
      </c>
      <c r="C14" s="344">
        <f t="shared" si="1"/>
        <v>42000</v>
      </c>
      <c r="D14" s="225">
        <f t="shared" si="2"/>
        <v>2520</v>
      </c>
      <c r="E14" s="315"/>
      <c r="F14" s="286">
        <v>6</v>
      </c>
      <c r="G14" s="1120">
        <f>G9*6</f>
        <v>3024000</v>
      </c>
      <c r="H14" s="1120"/>
      <c r="I14" s="1125">
        <f>I9*6</f>
        <v>181440</v>
      </c>
      <c r="J14" s="1126"/>
      <c r="K14" s="306"/>
      <c r="L14" s="348">
        <f>L9*6</f>
        <v>2160</v>
      </c>
      <c r="M14" s="306"/>
      <c r="N14" s="227">
        <f>IF($L$3&gt;=1,$L$3+5,0)</f>
        <v>35</v>
      </c>
      <c r="O14" s="325"/>
      <c r="P14" s="230">
        <f t="shared" si="3"/>
        <v>2574</v>
      </c>
      <c r="Q14" s="290"/>
      <c r="AA14" s="1129"/>
      <c r="AB14" s="652" t="s">
        <v>345</v>
      </c>
      <c r="AC14" s="656">
        <v>550000</v>
      </c>
      <c r="AD14" s="656">
        <v>2522</v>
      </c>
      <c r="AE14" s="657">
        <f t="shared" si="0"/>
        <v>226.98</v>
      </c>
      <c r="AF14" s="653">
        <v>0.06</v>
      </c>
    </row>
    <row r="15" spans="1:32" ht="27.75" customHeight="1" x14ac:dyDescent="0.15">
      <c r="A15" s="290"/>
      <c r="B15" s="282">
        <v>9</v>
      </c>
      <c r="C15" s="344">
        <f t="shared" si="1"/>
        <v>42000</v>
      </c>
      <c r="D15" s="225">
        <f t="shared" si="2"/>
        <v>2520</v>
      </c>
      <c r="E15" s="315"/>
      <c r="F15" s="286">
        <v>7</v>
      </c>
      <c r="G15" s="1120">
        <f>G9*7</f>
        <v>3528000</v>
      </c>
      <c r="H15" s="1120"/>
      <c r="I15" s="1125">
        <f>I9*7</f>
        <v>211680</v>
      </c>
      <c r="J15" s="1126"/>
      <c r="K15" s="306"/>
      <c r="L15" s="348">
        <f>L9*7</f>
        <v>2520</v>
      </c>
      <c r="M15" s="306"/>
      <c r="N15" s="227">
        <f>IF($L$3&gt;=1,$L$3+6,0)</f>
        <v>36</v>
      </c>
      <c r="O15" s="325"/>
      <c r="P15" s="230">
        <f t="shared" si="3"/>
        <v>2575</v>
      </c>
      <c r="Q15" s="290"/>
      <c r="AA15" s="1129"/>
      <c r="AB15" s="652" t="s">
        <v>346</v>
      </c>
      <c r="AC15" s="656">
        <v>750000</v>
      </c>
      <c r="AD15" s="656">
        <v>3492</v>
      </c>
      <c r="AE15" s="657">
        <f t="shared" si="0"/>
        <v>314.27999999999997</v>
      </c>
      <c r="AF15" s="653">
        <v>0.06</v>
      </c>
    </row>
    <row r="16" spans="1:32" ht="27.75" customHeight="1" x14ac:dyDescent="0.15">
      <c r="A16" s="290"/>
      <c r="B16" s="282">
        <v>10</v>
      </c>
      <c r="C16" s="344">
        <f t="shared" si="1"/>
        <v>42000</v>
      </c>
      <c r="D16" s="225">
        <f t="shared" si="2"/>
        <v>2520</v>
      </c>
      <c r="E16" s="315"/>
      <c r="F16" s="286">
        <v>8</v>
      </c>
      <c r="G16" s="1120">
        <f>G9*8</f>
        <v>4032000</v>
      </c>
      <c r="H16" s="1120"/>
      <c r="I16" s="1125">
        <f>I9*8</f>
        <v>241920</v>
      </c>
      <c r="J16" s="1126"/>
      <c r="K16" s="306"/>
      <c r="L16" s="348">
        <f>L9*8</f>
        <v>2880</v>
      </c>
      <c r="M16" s="306"/>
      <c r="N16" s="227">
        <f>IF($L$3&gt;=1,$L$3+7,0)</f>
        <v>37</v>
      </c>
      <c r="O16" s="325"/>
      <c r="P16" s="230">
        <f t="shared" si="3"/>
        <v>2576</v>
      </c>
      <c r="Q16" s="290"/>
      <c r="AA16" s="1129"/>
      <c r="AB16" s="652" t="s">
        <v>347</v>
      </c>
      <c r="AC16" s="656">
        <v>1000000</v>
      </c>
      <c r="AD16" s="656">
        <v>4268</v>
      </c>
      <c r="AE16" s="657">
        <f t="shared" si="0"/>
        <v>384.12</v>
      </c>
      <c r="AF16" s="653">
        <v>0.06</v>
      </c>
    </row>
    <row r="17" spans="1:32" ht="27.75" customHeight="1" thickBot="1" x14ac:dyDescent="0.2">
      <c r="A17" s="290"/>
      <c r="B17" s="282">
        <v>11</v>
      </c>
      <c r="C17" s="344">
        <f t="shared" si="1"/>
        <v>42000</v>
      </c>
      <c r="D17" s="225">
        <f t="shared" si="2"/>
        <v>2520</v>
      </c>
      <c r="E17" s="315"/>
      <c r="F17" s="286">
        <v>9</v>
      </c>
      <c r="G17" s="1120">
        <f>G9*9</f>
        <v>4536000</v>
      </c>
      <c r="H17" s="1120"/>
      <c r="I17" s="1125">
        <f>I9*9</f>
        <v>272160</v>
      </c>
      <c r="J17" s="1126"/>
      <c r="K17" s="306"/>
      <c r="L17" s="349">
        <f>L9*9</f>
        <v>3240</v>
      </c>
      <c r="M17" s="306"/>
      <c r="N17" s="227">
        <f>IF($L$3&gt;=1,$L$3+8,0)</f>
        <v>38</v>
      </c>
      <c r="O17" s="325"/>
      <c r="P17" s="230">
        <f t="shared" si="3"/>
        <v>2577</v>
      </c>
      <c r="Q17" s="290"/>
      <c r="AA17" s="1129"/>
      <c r="AB17" s="652" t="s">
        <v>348</v>
      </c>
      <c r="AC17" s="656">
        <v>2000000</v>
      </c>
      <c r="AD17" s="656">
        <v>7469</v>
      </c>
      <c r="AE17" s="657">
        <f t="shared" si="0"/>
        <v>672.20999999999992</v>
      </c>
      <c r="AF17" s="653">
        <v>0.06</v>
      </c>
    </row>
    <row r="18" spans="1:32" ht="27.75" customHeight="1" thickBot="1" x14ac:dyDescent="0.2">
      <c r="A18" s="290"/>
      <c r="B18" s="283">
        <v>12</v>
      </c>
      <c r="C18" s="345">
        <f t="shared" si="1"/>
        <v>42000</v>
      </c>
      <c r="D18" s="635">
        <f t="shared" si="2"/>
        <v>2520</v>
      </c>
      <c r="E18" s="315"/>
      <c r="F18" s="287">
        <v>10</v>
      </c>
      <c r="G18" s="1133">
        <f>G9*10</f>
        <v>5040000</v>
      </c>
      <c r="H18" s="1133"/>
      <c r="I18" s="1134">
        <f>I9*10</f>
        <v>302400</v>
      </c>
      <c r="J18" s="1135"/>
      <c r="K18" s="306"/>
      <c r="L18" s="350">
        <f>L9*10</f>
        <v>3600</v>
      </c>
      <c r="M18" s="306"/>
      <c r="N18" s="228">
        <f>IF($L$3&gt;=1,$L$3+9,0)</f>
        <v>39</v>
      </c>
      <c r="O18" s="325"/>
      <c r="P18" s="231">
        <f t="shared" si="3"/>
        <v>2578</v>
      </c>
      <c r="Q18" s="290"/>
      <c r="AA18" s="1129"/>
      <c r="AB18" s="652" t="s">
        <v>349</v>
      </c>
      <c r="AC18" s="656">
        <v>3000000</v>
      </c>
      <c r="AD18" s="656">
        <v>10185</v>
      </c>
      <c r="AE18" s="657">
        <f t="shared" si="0"/>
        <v>916.65</v>
      </c>
      <c r="AF18" s="653">
        <v>0.06</v>
      </c>
    </row>
    <row r="19" spans="1:32" ht="27.75" customHeight="1" thickBot="1" x14ac:dyDescent="0.2">
      <c r="A19" s="290"/>
      <c r="B19" s="291"/>
      <c r="C19" s="311"/>
      <c r="D19" s="290"/>
      <c r="E19" s="291"/>
      <c r="F19" s="290"/>
      <c r="G19" s="312"/>
      <c r="H19" s="312"/>
      <c r="I19" s="290"/>
      <c r="J19" s="290"/>
      <c r="K19" s="290"/>
      <c r="L19" s="313"/>
      <c r="M19" s="290"/>
      <c r="N19" s="290"/>
      <c r="O19" s="290"/>
      <c r="P19" s="290"/>
      <c r="Q19" s="290"/>
      <c r="AA19" s="1129"/>
      <c r="AB19" s="652" t="s">
        <v>350</v>
      </c>
      <c r="AC19" s="656">
        <v>5000000</v>
      </c>
      <c r="AD19" s="656">
        <v>16005</v>
      </c>
      <c r="AE19" s="657">
        <f t="shared" si="0"/>
        <v>1440.45</v>
      </c>
      <c r="AF19" s="653">
        <v>0.06</v>
      </c>
    </row>
    <row r="20" spans="1:32" ht="27.75" customHeight="1" thickBot="1" x14ac:dyDescent="0.2">
      <c r="A20" s="290"/>
      <c r="B20" s="290"/>
      <c r="C20" s="346">
        <f>SUM(C7:C18)</f>
        <v>504000</v>
      </c>
      <c r="D20" s="232">
        <f>SUM(D7:D18)</f>
        <v>30240</v>
      </c>
      <c r="E20" s="316"/>
      <c r="F20" s="284" t="str">
        <f>IF(H5&gt;=1,"Total",0)</f>
        <v>Total</v>
      </c>
      <c r="G20" s="1132">
        <f>SUM(G9:G18)</f>
        <v>27720000</v>
      </c>
      <c r="H20" s="1132"/>
      <c r="I20" s="1130">
        <f>SUM(I9:I18)</f>
        <v>1663200</v>
      </c>
      <c r="J20" s="1131"/>
      <c r="K20" s="306"/>
      <c r="L20" s="289" t="s">
        <v>29</v>
      </c>
      <c r="M20" s="290"/>
      <c r="N20" s="290"/>
      <c r="O20" s="290"/>
      <c r="P20" s="290"/>
      <c r="Q20" s="290"/>
      <c r="AA20" s="652"/>
      <c r="AB20" s="652" t="s">
        <v>351</v>
      </c>
      <c r="AC20" s="656">
        <v>150000</v>
      </c>
      <c r="AD20" s="656">
        <v>900</v>
      </c>
      <c r="AE20" s="657">
        <f t="shared" ref="AE20" si="4">AD20*0.09</f>
        <v>81</v>
      </c>
      <c r="AF20" s="653">
        <v>0.2</v>
      </c>
    </row>
    <row r="21" spans="1:32" ht="27.75" customHeight="1" x14ac:dyDescent="0.15">
      <c r="A21" s="310"/>
      <c r="B21" s="310"/>
      <c r="C21" s="317"/>
      <c r="D21" s="317"/>
      <c r="E21" s="317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</row>
    <row r="22" spans="1:32" ht="27.75" customHeight="1" x14ac:dyDescent="0.15">
      <c r="A22" s="310"/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</row>
    <row r="23" spans="1:32" ht="27.75" customHeight="1" x14ac:dyDescent="0.15">
      <c r="A23" s="310"/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</row>
    <row r="24" spans="1:32" ht="27.75" customHeight="1" x14ac:dyDescent="0.15">
      <c r="A24" s="310"/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</row>
    <row r="25" spans="1:32" ht="27.75" customHeight="1" x14ac:dyDescent="0.15">
      <c r="A25" s="310"/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</row>
    <row r="26" spans="1:32" ht="27.75" customHeight="1" x14ac:dyDescent="0.15">
      <c r="A26" s="310"/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</row>
    <row r="37" spans="1:31" x14ac:dyDescent="0.15">
      <c r="G37" s="23"/>
      <c r="H37" s="23"/>
      <c r="I37" s="23"/>
    </row>
    <row r="38" spans="1:31" x14ac:dyDescent="0.15">
      <c r="G38" s="23"/>
      <c r="H38" s="23"/>
      <c r="I38" s="23"/>
    </row>
    <row r="39" spans="1:31" x14ac:dyDescent="0.15">
      <c r="G39" s="23"/>
      <c r="H39" s="23"/>
      <c r="I39" s="23"/>
      <c r="AB39" s="23"/>
      <c r="AC39" s="23"/>
      <c r="AD39" s="23"/>
      <c r="AE39" s="23"/>
    </row>
    <row r="40" spans="1:31" x14ac:dyDescent="0.15">
      <c r="G40" s="23"/>
      <c r="H40" s="23"/>
      <c r="I40" s="23"/>
      <c r="AB40" s="23"/>
      <c r="AC40" s="23"/>
      <c r="AD40" s="23"/>
      <c r="AE40" s="23"/>
    </row>
    <row r="41" spans="1:31" s="23" customFormat="1" ht="27.75" customHeight="1" x14ac:dyDescent="0.15"/>
    <row r="42" spans="1:31" s="23" customFormat="1" ht="27.75" customHeight="1" x14ac:dyDescent="0.15"/>
    <row r="43" spans="1:31" s="23" customFormat="1" ht="27.75" customHeight="1" x14ac:dyDescent="0.15"/>
    <row r="44" spans="1:31" s="23" customFormat="1" ht="27.75" customHeight="1" x14ac:dyDescent="0.15"/>
    <row r="45" spans="1:31" s="23" customFormat="1" ht="27.75" customHeight="1" x14ac:dyDescent="0.15"/>
    <row r="46" spans="1:31" s="23" customFormat="1" ht="27.75" customHeight="1" x14ac:dyDescent="0.15">
      <c r="A46" s="22"/>
      <c r="B46" s="22"/>
      <c r="C46" s="22"/>
      <c r="D46" s="22"/>
      <c r="E46" s="22"/>
      <c r="F46" s="22"/>
      <c r="J46" s="22"/>
      <c r="K46" s="22"/>
      <c r="L46" s="22"/>
      <c r="M46" s="22"/>
      <c r="N46" s="22"/>
      <c r="O46" s="22"/>
      <c r="P46" s="22"/>
    </row>
    <row r="47" spans="1:31" s="23" customFormat="1" ht="27.75" customHeight="1" x14ac:dyDescent="0.1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31" s="23" customFormat="1" ht="27.75" customHeight="1" x14ac:dyDescent="0.1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31" s="23" customFormat="1" ht="27.75" customHeight="1" x14ac:dyDescent="0.1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31" s="23" customFormat="1" ht="27.75" customHeight="1" x14ac:dyDescent="0.1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31" s="23" customFormat="1" ht="27.75" customHeight="1" x14ac:dyDescent="0.1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31" s="23" customFormat="1" ht="27.75" customHeight="1" x14ac:dyDescent="0.1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31" s="23" customFormat="1" ht="27.75" customHeight="1" x14ac:dyDescent="0.1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31" s="23" customFormat="1" ht="27.75" customHeight="1" x14ac:dyDescent="0.1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31" s="23" customFormat="1" ht="27.75" customHeight="1" x14ac:dyDescent="0.1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31" s="23" customFormat="1" ht="27.75" customHeight="1" x14ac:dyDescent="0.1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31" s="23" customFormat="1" ht="27.75" customHeight="1" x14ac:dyDescent="0.1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31" s="23" customFormat="1" ht="27.75" customHeight="1" x14ac:dyDescent="0.1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31" s="23" customFormat="1" ht="27.75" customHeight="1" x14ac:dyDescent="0.1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31" s="23" customFormat="1" ht="27.75" customHeight="1" x14ac:dyDescent="0.1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31" s="23" customFormat="1" ht="27.75" customHeight="1" x14ac:dyDescent="0.1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31" s="23" customFormat="1" ht="27.75" customHeight="1" x14ac:dyDescent="0.1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31" s="23" customFormat="1" ht="27.75" customHeight="1" x14ac:dyDescent="0.1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31" s="23" customFormat="1" ht="27.75" customHeight="1" x14ac:dyDescent="0.1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AB64" s="22"/>
      <c r="AC64" s="22"/>
      <c r="AD64" s="22"/>
      <c r="AE64" s="22"/>
    </row>
    <row r="65" spans="1:31" s="23" customFormat="1" ht="27.75" customHeight="1" x14ac:dyDescent="0.1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AB65" s="22"/>
      <c r="AC65" s="22"/>
      <c r="AD65" s="22"/>
      <c r="AE65" s="22"/>
    </row>
  </sheetData>
  <sheetProtection algorithmName="SHA-512" hashValue="jzfuCXTqRKwS0C/1L7L//YeILKj3cCoMz0Hq5mg1R9pMH33K8UqYyTjXB/0xMHjm0QOOky2j1mS06YofBFyrtQ==" saltValue="nZp0Al5XtoP1iXqJhWHXOg==" spinCount="100000" sheet="1" objects="1" scenarios="1" selectLockedCells="1"/>
  <protectedRanges>
    <protectedRange sqref="L4 H5 AD2:AF2" name="ช่วง1"/>
  </protectedRanges>
  <customSheetViews>
    <customSheetView guid="{82B311FB-57F0-41B4-A7C3-5882014D86A1}" scale="70" showGridLines="0" fitToPage="1" hiddenColumns="1">
      <selection activeCell="H2" sqref="H2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92" orientation="landscape" r:id="rId1"/>
      <headerFooter alignWithMargins="0"/>
    </customSheetView>
    <customSheetView guid="{667EEF7A-262F-4932-80D5-D47443835FA2}" scale="70" showGridLines="0" hiddenRows="1">
      <selection activeCell="D8" sqref="D8"/>
      <pageMargins left="0" right="0" top="0.19685039370078741" bottom="0" header="0.19685039370078741" footer="0"/>
      <printOptions horizontalCentered="1"/>
      <pageSetup paperSize="9" scale="85" orientation="landscape" r:id="rId2"/>
      <headerFooter alignWithMargins="0"/>
    </customSheetView>
    <customSheetView guid="{00AC2CC8-9B9F-4979-A039-643E7B67D066}" scale="70" showGridLines="0" fitToPage="1" hiddenColumns="1">
      <selection activeCell="H5" sqref="H5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92" orientation="landscape" r:id="rId3"/>
      <headerFooter alignWithMargins="0"/>
    </customSheetView>
  </customSheetViews>
  <mergeCells count="29">
    <mergeCell ref="AA4:AA11"/>
    <mergeCell ref="AA12:AA19"/>
    <mergeCell ref="G15:H15"/>
    <mergeCell ref="I20:J20"/>
    <mergeCell ref="G20:H20"/>
    <mergeCell ref="G17:H17"/>
    <mergeCell ref="G18:H18"/>
    <mergeCell ref="I17:J17"/>
    <mergeCell ref="I18:J18"/>
    <mergeCell ref="I15:J15"/>
    <mergeCell ref="I16:J16"/>
    <mergeCell ref="G16:H16"/>
    <mergeCell ref="G13:H13"/>
    <mergeCell ref="G14:H14"/>
    <mergeCell ref="I9:J9"/>
    <mergeCell ref="I10:J10"/>
    <mergeCell ref="I13:J13"/>
    <mergeCell ref="I14:J14"/>
    <mergeCell ref="I11:J11"/>
    <mergeCell ref="I12:J12"/>
    <mergeCell ref="G9:H9"/>
    <mergeCell ref="G10:H10"/>
    <mergeCell ref="G11:H11"/>
    <mergeCell ref="J3:K3"/>
    <mergeCell ref="J4:K4"/>
    <mergeCell ref="G12:H12"/>
    <mergeCell ref="I8:J8"/>
    <mergeCell ref="G8:H8"/>
    <mergeCell ref="G2:G3"/>
  </mergeCells>
  <phoneticPr fontId="3" type="noConversion"/>
  <dataValidations count="1">
    <dataValidation type="list" allowBlank="1" showInputMessage="1" showErrorMessage="1" sqref="H2" xr:uid="{00000000-0002-0000-0700-000000000000}">
      <formula1>$AB$3:$AB$20</formula1>
    </dataValidation>
  </dataValidation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92" orientation="landscape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3905" r:id="rId7" name="Spinner 1">
              <controlPr defaultSize="0" autoPict="0">
                <anchor moveWithCells="1" sizeWithCells="1">
                  <from>
                    <xdr:col>6</xdr:col>
                    <xdr:colOff>7620</xdr:colOff>
                    <xdr:row>4</xdr:row>
                    <xdr:rowOff>7620</xdr:rowOff>
                  </from>
                  <to>
                    <xdr:col>6</xdr:col>
                    <xdr:colOff>922020</xdr:colOff>
                    <xdr:row>4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55" r:id="rId8" name="Spinner 151">
              <controlPr defaultSize="0" autoPict="0">
                <anchor moveWithCells="1" sizeWithCells="1">
                  <from>
                    <xdr:col>12</xdr:col>
                    <xdr:colOff>7620</xdr:colOff>
                    <xdr:row>3</xdr:row>
                    <xdr:rowOff>7620</xdr:rowOff>
                  </from>
                  <to>
                    <xdr:col>13</xdr:col>
                    <xdr:colOff>335280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56" r:id="rId9" name="Spinner 152">
              <controlPr defaultSize="0" autoPict="0">
                <anchor moveWithCells="1" sizeWithCells="1">
                  <from>
                    <xdr:col>12</xdr:col>
                    <xdr:colOff>7620</xdr:colOff>
                    <xdr:row>2</xdr:row>
                    <xdr:rowOff>7620</xdr:rowOff>
                  </from>
                  <to>
                    <xdr:col>13</xdr:col>
                    <xdr:colOff>335280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0070C0"/>
    <pageSetUpPr fitToPage="1"/>
  </sheetPr>
  <dimension ref="A1:U40"/>
  <sheetViews>
    <sheetView showGridLines="0" zoomScale="80" zoomScaleNormal="80" workbookViewId="0">
      <selection activeCell="S2" sqref="S2:T2"/>
    </sheetView>
  </sheetViews>
  <sheetFormatPr defaultColWidth="9.16796875" defaultRowHeight="27" customHeight="1" x14ac:dyDescent="0.15"/>
  <cols>
    <col min="1" max="1" width="6.60546875" style="30" customWidth="1"/>
    <col min="2" max="3" width="9.16796875" style="30"/>
    <col min="4" max="4" width="18.47265625" style="30" customWidth="1"/>
    <col min="5" max="5" width="19.01171875" style="30" customWidth="1"/>
    <col min="6" max="6" width="4.3125" style="30" customWidth="1"/>
    <col min="7" max="7" width="2.55859375" style="30" customWidth="1"/>
    <col min="8" max="8" width="9.16796875" style="30"/>
    <col min="9" max="9" width="4.3125" style="30" customWidth="1"/>
    <col min="10" max="10" width="4.8515625" style="30" customWidth="1"/>
    <col min="11" max="11" width="6.60546875" style="30" customWidth="1"/>
    <col min="12" max="12" width="7.01171875" style="30" customWidth="1"/>
    <col min="13" max="13" width="6.3359375" style="30" customWidth="1"/>
    <col min="14" max="14" width="7.28125" style="30" customWidth="1"/>
    <col min="15" max="15" width="9.16796875" style="30"/>
    <col min="16" max="16" width="12.5390625" style="30" customWidth="1"/>
    <col min="17" max="17" width="6.60546875" style="30" customWidth="1"/>
    <col min="18" max="18" width="14.0234375" style="30" customWidth="1"/>
    <col min="19" max="19" width="24.00390625" style="30" customWidth="1"/>
    <col min="20" max="20" width="22.3828125" style="30" customWidth="1"/>
    <col min="21" max="21" width="14.6953125" style="30" customWidth="1"/>
    <col min="22" max="16384" width="9.16796875" style="30"/>
  </cols>
  <sheetData>
    <row r="1" spans="1:21" ht="37.5" x14ac:dyDescent="0.15">
      <c r="A1" s="326"/>
      <c r="B1" s="327"/>
      <c r="C1" s="327"/>
      <c r="D1" s="327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S1" s="1153" t="s">
        <v>318</v>
      </c>
      <c r="T1" s="1154"/>
    </row>
    <row r="2" spans="1:21" ht="39" thickBot="1" x14ac:dyDescent="0.2">
      <c r="A2" s="328"/>
      <c r="B2" s="1141" t="s">
        <v>30</v>
      </c>
      <c r="C2" s="1141"/>
      <c r="D2" s="1141"/>
      <c r="E2" s="312"/>
      <c r="F2" s="312"/>
      <c r="G2" s="312"/>
      <c r="H2" s="312"/>
      <c r="I2" s="312"/>
      <c r="J2" s="312"/>
      <c r="K2" s="312"/>
      <c r="L2" s="312"/>
      <c r="M2" s="312"/>
      <c r="N2" s="330"/>
      <c r="O2" s="330"/>
      <c r="P2" s="330"/>
      <c r="Q2" s="330"/>
      <c r="S2" s="1113" t="s">
        <v>182</v>
      </c>
      <c r="T2" s="1113"/>
    </row>
    <row r="3" spans="1:21" ht="38.25" x14ac:dyDescent="0.15">
      <c r="A3" s="326"/>
      <c r="B3" s="339" t="s">
        <v>31</v>
      </c>
      <c r="C3" s="339"/>
      <c r="D3" s="339"/>
      <c r="E3" s="596">
        <f>IF($S$2="Auto",F3,T3)</f>
        <v>10</v>
      </c>
      <c r="F3" s="469">
        <v>10</v>
      </c>
      <c r="G3" s="329"/>
      <c r="H3" s="340" t="s">
        <v>32</v>
      </c>
      <c r="I3" s="331"/>
      <c r="J3" s="331"/>
      <c r="K3" s="1142" t="s">
        <v>23</v>
      </c>
      <c r="L3" s="1142"/>
      <c r="M3" s="1155">
        <f>M4/12</f>
        <v>4000000</v>
      </c>
      <c r="N3" s="1156"/>
      <c r="O3" s="1157"/>
      <c r="P3" s="342" t="s">
        <v>33</v>
      </c>
      <c r="Q3" s="330"/>
      <c r="S3" s="592" t="s">
        <v>313</v>
      </c>
      <c r="T3" s="593">
        <v>6</v>
      </c>
      <c r="U3" s="594" t="s">
        <v>32</v>
      </c>
    </row>
    <row r="4" spans="1:21" ht="39" thickBot="1" x14ac:dyDescent="0.2">
      <c r="A4" s="326"/>
      <c r="B4" s="339" t="str">
        <f>"สัปดาห์ละ "&amp;F4&amp;" วัน"</f>
        <v>สัปดาห์ละ 5 วัน</v>
      </c>
      <c r="C4" s="339"/>
      <c r="D4" s="339"/>
      <c r="E4" s="367">
        <f>IF($S$2="Auto",F4*E3,T4*E3)</f>
        <v>50</v>
      </c>
      <c r="F4" s="469">
        <v>5</v>
      </c>
      <c r="G4" s="329"/>
      <c r="H4" s="340" t="s">
        <v>32</v>
      </c>
      <c r="I4" s="331"/>
      <c r="J4" s="331"/>
      <c r="K4" s="1142" t="s">
        <v>23</v>
      </c>
      <c r="L4" s="1142"/>
      <c r="M4" s="1147">
        <f>E9*E11</f>
        <v>48000000</v>
      </c>
      <c r="N4" s="1148"/>
      <c r="O4" s="1149"/>
      <c r="P4" s="342" t="s">
        <v>35</v>
      </c>
      <c r="Q4" s="337"/>
      <c r="R4" s="31"/>
      <c r="S4" s="592" t="s">
        <v>62</v>
      </c>
      <c r="T4" s="593">
        <v>6</v>
      </c>
      <c r="U4" s="594" t="s">
        <v>314</v>
      </c>
    </row>
    <row r="5" spans="1:21" ht="39" thickBot="1" x14ac:dyDescent="0.2">
      <c r="A5" s="326"/>
      <c r="B5" s="339" t="s">
        <v>36</v>
      </c>
      <c r="C5" s="339"/>
      <c r="D5" s="339"/>
      <c r="E5" s="367">
        <f>4*E4</f>
        <v>200</v>
      </c>
      <c r="F5" s="329"/>
      <c r="G5" s="329"/>
      <c r="H5" s="340" t="s">
        <v>32</v>
      </c>
      <c r="I5" s="331"/>
      <c r="J5" s="331"/>
      <c r="K5" s="340"/>
      <c r="L5" s="340"/>
      <c r="M5" s="331"/>
      <c r="N5" s="330"/>
      <c r="O5" s="330"/>
      <c r="P5" s="328"/>
      <c r="Q5" s="338"/>
      <c r="R5" s="32"/>
    </row>
    <row r="6" spans="1:21" ht="39" thickBot="1" x14ac:dyDescent="0.2">
      <c r="A6" s="326"/>
      <c r="B6" s="339" t="s">
        <v>37</v>
      </c>
      <c r="C6" s="339" t="s">
        <v>38</v>
      </c>
      <c r="D6" s="339"/>
      <c r="E6" s="368">
        <f>12*E5</f>
        <v>2400</v>
      </c>
      <c r="F6" s="329"/>
      <c r="G6" s="329"/>
      <c r="H6" s="340" t="s">
        <v>32</v>
      </c>
      <c r="I6" s="331"/>
      <c r="J6" s="331"/>
      <c r="K6" s="1142" t="s">
        <v>39</v>
      </c>
      <c r="L6" s="1142"/>
      <c r="M6" s="1151">
        <f>IF($S$2="Auto",TIME!K5,T6)</f>
        <v>30</v>
      </c>
      <c r="N6" s="1152"/>
      <c r="O6" s="330"/>
      <c r="P6" s="330"/>
      <c r="Q6" s="338"/>
      <c r="R6" s="32"/>
      <c r="S6" s="592" t="s">
        <v>315</v>
      </c>
      <c r="T6" s="593">
        <v>20</v>
      </c>
      <c r="U6" s="594" t="s">
        <v>1</v>
      </c>
    </row>
    <row r="7" spans="1:21" ht="39" thickBot="1" x14ac:dyDescent="0.2">
      <c r="A7" s="326"/>
      <c r="B7" s="339" t="s">
        <v>40</v>
      </c>
      <c r="C7" s="339"/>
      <c r="D7" s="339"/>
      <c r="E7" s="372">
        <f>IF($S$2="Auto",(IF(F7&gt;I7,"ค่าสูงเกิน",IF(F7=I7,1,F7))),T7)</f>
        <v>1</v>
      </c>
      <c r="F7" s="373">
        <v>1</v>
      </c>
      <c r="G7" s="374" t="s">
        <v>41</v>
      </c>
      <c r="H7" s="375">
        <f>IF($S$2="Auto",(IF(F7&gt;=I7,1,I7)),U7)</f>
        <v>5</v>
      </c>
      <c r="I7" s="376">
        <v>5</v>
      </c>
      <c r="J7" s="331"/>
      <c r="K7" s="340"/>
      <c r="L7" s="340"/>
      <c r="M7" s="331"/>
      <c r="N7" s="330"/>
      <c r="O7" s="330"/>
      <c r="P7" s="330"/>
      <c r="Q7" s="330"/>
      <c r="S7" s="592" t="s">
        <v>316</v>
      </c>
      <c r="T7" s="593">
        <v>1</v>
      </c>
      <c r="U7" s="593">
        <v>5</v>
      </c>
    </row>
    <row r="8" spans="1:21" ht="39" thickBot="1" x14ac:dyDescent="0.2">
      <c r="A8" s="326"/>
      <c r="B8" s="1141" t="s">
        <v>42</v>
      </c>
      <c r="C8" s="1141">
        <v>2554</v>
      </c>
      <c r="D8" s="1141"/>
      <c r="E8" s="369"/>
      <c r="F8" s="332"/>
      <c r="G8" s="332"/>
      <c r="H8" s="341"/>
      <c r="I8" s="333"/>
      <c r="J8" s="333"/>
      <c r="K8" s="1142" t="s">
        <v>28</v>
      </c>
      <c r="L8" s="1142"/>
      <c r="M8" s="1143">
        <f>IF($S$2="Auto",TIME!D5,T8)</f>
        <v>2569</v>
      </c>
      <c r="N8" s="1144"/>
      <c r="O8" s="330"/>
      <c r="P8" s="330"/>
      <c r="Q8" s="330"/>
      <c r="S8" s="592" t="s">
        <v>13</v>
      </c>
      <c r="T8" s="593">
        <v>2567</v>
      </c>
    </row>
    <row r="9" spans="1:21" ht="38.25" x14ac:dyDescent="0.15">
      <c r="A9" s="326"/>
      <c r="B9" s="339" t="s">
        <v>43</v>
      </c>
      <c r="C9" s="339"/>
      <c r="D9" s="339"/>
      <c r="E9" s="370">
        <f>IF(E7=0,"",E6*E7/H7)</f>
        <v>480</v>
      </c>
      <c r="F9" s="334"/>
      <c r="G9" s="334"/>
      <c r="H9" s="340" t="s">
        <v>32</v>
      </c>
      <c r="I9" s="331"/>
      <c r="J9" s="331"/>
      <c r="K9" s="331"/>
      <c r="L9" s="331"/>
      <c r="M9" s="331"/>
      <c r="N9" s="330"/>
      <c r="O9" s="330"/>
      <c r="P9" s="330"/>
      <c r="Q9" s="330"/>
    </row>
    <row r="10" spans="1:21" ht="38.25" x14ac:dyDescent="0.15">
      <c r="A10" s="326"/>
      <c r="B10" s="339" t="s">
        <v>36</v>
      </c>
      <c r="C10" s="339"/>
      <c r="D10" s="339"/>
      <c r="E10" s="371">
        <f>IF(E7=0,"",E9/12)</f>
        <v>40</v>
      </c>
      <c r="F10" s="334"/>
      <c r="G10" s="334"/>
      <c r="H10" s="340" t="s">
        <v>32</v>
      </c>
      <c r="I10" s="331"/>
      <c r="J10" s="331"/>
      <c r="K10" s="331"/>
      <c r="L10" s="331"/>
      <c r="M10" s="331"/>
      <c r="N10" s="330"/>
      <c r="O10" s="330"/>
      <c r="P10" s="330"/>
      <c r="Q10" s="330"/>
    </row>
    <row r="11" spans="1:21" ht="39" thickBot="1" x14ac:dyDescent="0.2">
      <c r="A11" s="326"/>
      <c r="B11" s="339" t="s">
        <v>44</v>
      </c>
      <c r="C11" s="339"/>
      <c r="D11" s="339"/>
      <c r="E11" s="377">
        <f>IF($S$2="Auto",F11*1000,T11)</f>
        <v>100000</v>
      </c>
      <c r="F11" s="335">
        <v>100</v>
      </c>
      <c r="G11" s="336"/>
      <c r="H11" s="340" t="s">
        <v>2</v>
      </c>
      <c r="I11" s="331"/>
      <c r="J11" s="331"/>
      <c r="K11" s="331"/>
      <c r="L11" s="331"/>
      <c r="M11" s="331"/>
      <c r="N11" s="330"/>
      <c r="O11" s="330"/>
      <c r="P11" s="330"/>
      <c r="Q11" s="330"/>
      <c r="S11" s="592" t="s">
        <v>317</v>
      </c>
      <c r="T11" s="595">
        <v>10000</v>
      </c>
      <c r="U11" s="594" t="s">
        <v>2</v>
      </c>
    </row>
    <row r="12" spans="1:21" ht="30.75" customHeight="1" x14ac:dyDescent="0.15">
      <c r="A12" s="326"/>
      <c r="B12" s="327"/>
      <c r="C12" s="327"/>
      <c r="D12" s="327"/>
      <c r="E12" s="326"/>
      <c r="F12" s="326"/>
      <c r="G12" s="326"/>
      <c r="H12" s="327"/>
      <c r="I12" s="327"/>
      <c r="J12" s="326"/>
      <c r="K12" s="326"/>
      <c r="L12" s="326"/>
      <c r="M12" s="326"/>
      <c r="N12" s="326"/>
      <c r="O12" s="326"/>
      <c r="P12" s="326"/>
      <c r="Q12" s="326"/>
    </row>
    <row r="13" spans="1:21" ht="30.75" customHeight="1" x14ac:dyDescent="0.15">
      <c r="A13" s="326"/>
      <c r="B13" s="327"/>
      <c r="C13" s="327"/>
      <c r="D13" s="327"/>
      <c r="E13" s="326"/>
      <c r="F13" s="326"/>
      <c r="G13" s="326"/>
      <c r="H13" s="327"/>
      <c r="I13" s="327"/>
      <c r="J13" s="326"/>
      <c r="K13" s="326"/>
      <c r="L13" s="326"/>
      <c r="M13" s="326"/>
      <c r="N13" s="326"/>
      <c r="O13" s="326"/>
      <c r="P13" s="326"/>
      <c r="Q13" s="326"/>
    </row>
    <row r="14" spans="1:21" ht="30.75" customHeight="1" x14ac:dyDescent="0.15">
      <c r="A14" s="326"/>
      <c r="B14" s="327"/>
      <c r="C14" s="327"/>
      <c r="D14" s="327"/>
      <c r="E14" s="326"/>
      <c r="F14" s="326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</row>
    <row r="15" spans="1:21" ht="30.75" customHeight="1" x14ac:dyDescent="0.15">
      <c r="A15" s="326"/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326"/>
    </row>
    <row r="16" spans="1:21" ht="30.75" customHeight="1" x14ac:dyDescent="0.15">
      <c r="A16" s="326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</row>
    <row r="17" spans="1:18" ht="30.75" customHeight="1" x14ac:dyDescent="0.15">
      <c r="A17" s="326"/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</row>
    <row r="18" spans="1:18" ht="30.75" customHeight="1" x14ac:dyDescent="0.15">
      <c r="A18" s="326"/>
      <c r="B18" s="326"/>
      <c r="C18" s="326"/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</row>
    <row r="19" spans="1:18" ht="30.75" customHeight="1" x14ac:dyDescent="0.15">
      <c r="A19" s="326"/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</row>
    <row r="20" spans="1:18" s="33" customFormat="1" ht="30.75" customHeight="1" x14ac:dyDescent="0.15">
      <c r="A20" s="326"/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</row>
    <row r="21" spans="1:18" s="33" customFormat="1" ht="30.75" customHeight="1" x14ac:dyDescent="0.1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</row>
    <row r="22" spans="1:18" s="33" customFormat="1" ht="37.5" x14ac:dyDescent="0.1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</row>
    <row r="23" spans="1:18" s="33" customFormat="1" ht="45" customHeight="1" x14ac:dyDescent="0.15">
      <c r="A23" s="30"/>
      <c r="B23" s="1140" t="s">
        <v>30</v>
      </c>
      <c r="C23" s="1140"/>
      <c r="D23" s="1140"/>
      <c r="E23" s="22"/>
      <c r="F23" s="22"/>
      <c r="G23" s="22"/>
      <c r="H23" s="22"/>
      <c r="I23" s="22"/>
      <c r="J23" s="22"/>
      <c r="K23" s="22"/>
      <c r="L23" s="22"/>
      <c r="M23" s="22"/>
      <c r="N23" s="30"/>
      <c r="O23" s="30"/>
      <c r="P23" s="30"/>
      <c r="Q23" s="30"/>
    </row>
    <row r="24" spans="1:18" s="33" customFormat="1" ht="45" customHeight="1" x14ac:dyDescent="0.15">
      <c r="A24" s="30"/>
      <c r="B24" s="34" t="s">
        <v>31</v>
      </c>
      <c r="C24" s="34"/>
      <c r="D24" s="34"/>
      <c r="E24" s="35">
        <f>E3</f>
        <v>10</v>
      </c>
      <c r="F24" s="34"/>
      <c r="G24" s="34"/>
      <c r="H24" s="36" t="s">
        <v>32</v>
      </c>
      <c r="I24" s="36"/>
      <c r="J24" s="36"/>
      <c r="K24" s="1138" t="s">
        <v>23</v>
      </c>
      <c r="L24" s="1138"/>
      <c r="M24" s="1145">
        <f>M3</f>
        <v>4000000</v>
      </c>
      <c r="N24" s="1146"/>
      <c r="O24" s="1146"/>
      <c r="P24" s="37" t="s">
        <v>33</v>
      </c>
      <c r="Q24" s="30"/>
    </row>
    <row r="25" spans="1:18" s="33" customFormat="1" ht="45" customHeight="1" x14ac:dyDescent="0.15">
      <c r="A25" s="38"/>
      <c r="B25" s="39" t="s">
        <v>34</v>
      </c>
      <c r="C25" s="39"/>
      <c r="D25" s="39"/>
      <c r="E25" s="35">
        <f>E4</f>
        <v>50</v>
      </c>
      <c r="F25" s="34"/>
      <c r="G25" s="34"/>
      <c r="H25" s="36" t="s">
        <v>32</v>
      </c>
      <c r="I25" s="36"/>
      <c r="J25" s="36"/>
      <c r="K25" s="1138" t="s">
        <v>23</v>
      </c>
      <c r="L25" s="1138"/>
      <c r="M25" s="1145">
        <f>M4</f>
        <v>48000000</v>
      </c>
      <c r="N25" s="1146"/>
      <c r="O25" s="1146"/>
      <c r="P25" s="37" t="s">
        <v>35</v>
      </c>
      <c r="Q25" s="31"/>
      <c r="R25" s="40"/>
    </row>
    <row r="26" spans="1:18" s="33" customFormat="1" ht="45" customHeight="1" x14ac:dyDescent="0.15">
      <c r="A26" s="38"/>
      <c r="B26" s="39" t="s">
        <v>36</v>
      </c>
      <c r="C26" s="39"/>
      <c r="D26" s="39"/>
      <c r="E26" s="35">
        <f>E5</f>
        <v>200</v>
      </c>
      <c r="F26" s="34"/>
      <c r="G26" s="34"/>
      <c r="H26" s="36" t="s">
        <v>32</v>
      </c>
      <c r="I26" s="36"/>
      <c r="J26" s="36"/>
      <c r="K26" s="1150"/>
      <c r="L26" s="1150"/>
      <c r="M26" s="1150"/>
      <c r="N26" s="1150"/>
      <c r="O26" s="1150"/>
      <c r="P26" s="30"/>
      <c r="Q26" s="32"/>
      <c r="R26" s="41"/>
    </row>
    <row r="27" spans="1:18" s="33" customFormat="1" ht="45" customHeight="1" x14ac:dyDescent="0.15">
      <c r="A27" s="38"/>
      <c r="B27" s="39" t="s">
        <v>37</v>
      </c>
      <c r="C27" s="39" t="s">
        <v>38</v>
      </c>
      <c r="D27" s="39"/>
      <c r="E27" s="35">
        <f>E6</f>
        <v>2400</v>
      </c>
      <c r="F27" s="34"/>
      <c r="G27" s="34"/>
      <c r="H27" s="36" t="s">
        <v>32</v>
      </c>
      <c r="I27" s="36"/>
      <c r="J27" s="36"/>
      <c r="K27" s="1138" t="s">
        <v>39</v>
      </c>
      <c r="L27" s="1138"/>
      <c r="M27" s="1139">
        <f>M6</f>
        <v>30</v>
      </c>
      <c r="N27" s="1139"/>
      <c r="O27" s="30"/>
      <c r="P27" s="30"/>
      <c r="Q27" s="32"/>
      <c r="R27" s="41"/>
    </row>
    <row r="28" spans="1:18" s="33" customFormat="1" ht="45" customHeight="1" x14ac:dyDescent="0.15">
      <c r="A28" s="30"/>
      <c r="B28" s="34" t="s">
        <v>40</v>
      </c>
      <c r="C28" s="34"/>
      <c r="D28" s="34"/>
      <c r="E28" s="35">
        <f>E7</f>
        <v>1</v>
      </c>
      <c r="F28" s="30"/>
      <c r="G28" s="42" t="s">
        <v>41</v>
      </c>
      <c r="H28" s="43">
        <f>H7</f>
        <v>5</v>
      </c>
      <c r="I28" s="43"/>
      <c r="J28" s="36"/>
      <c r="K28" s="1138" t="s">
        <v>28</v>
      </c>
      <c r="L28" s="1138"/>
      <c r="M28" s="1138">
        <f>M8</f>
        <v>2569</v>
      </c>
      <c r="N28" s="1138"/>
      <c r="O28" s="30"/>
      <c r="P28" s="30"/>
      <c r="Q28" s="30"/>
    </row>
    <row r="29" spans="1:18" s="33" customFormat="1" ht="45" customHeight="1" x14ac:dyDescent="0.15">
      <c r="A29" s="30"/>
      <c r="B29" s="1140" t="s">
        <v>42</v>
      </c>
      <c r="C29" s="1140"/>
      <c r="D29" s="1140"/>
      <c r="E29" s="44"/>
      <c r="F29" s="45"/>
      <c r="G29" s="45"/>
      <c r="H29" s="46"/>
      <c r="I29" s="46"/>
      <c r="J29" s="46"/>
      <c r="K29" s="30"/>
      <c r="L29" s="30"/>
      <c r="M29" s="30"/>
      <c r="N29" s="30"/>
      <c r="O29" s="30"/>
      <c r="P29" s="30"/>
      <c r="Q29" s="30"/>
    </row>
    <row r="30" spans="1:18" s="33" customFormat="1" ht="45" customHeight="1" x14ac:dyDescent="0.15">
      <c r="A30" s="30"/>
      <c r="B30" s="34" t="s">
        <v>43</v>
      </c>
      <c r="C30" s="34"/>
      <c r="D30" s="34"/>
      <c r="E30" s="47">
        <f>E9</f>
        <v>480</v>
      </c>
      <c r="F30" s="48"/>
      <c r="G30" s="48"/>
      <c r="H30" s="36" t="s">
        <v>32</v>
      </c>
      <c r="I30" s="36"/>
      <c r="J30" s="36"/>
      <c r="K30" s="36"/>
      <c r="L30" s="36"/>
      <c r="M30" s="36"/>
      <c r="N30" s="30"/>
      <c r="O30" s="30"/>
      <c r="P30" s="30"/>
      <c r="Q30" s="30"/>
    </row>
    <row r="31" spans="1:18" s="33" customFormat="1" ht="45" customHeight="1" x14ac:dyDescent="0.15">
      <c r="A31" s="30"/>
      <c r="B31" s="34" t="s">
        <v>36</v>
      </c>
      <c r="C31" s="34"/>
      <c r="D31" s="34"/>
      <c r="E31" s="47">
        <f>E10</f>
        <v>40</v>
      </c>
      <c r="F31" s="48"/>
      <c r="G31" s="48"/>
      <c r="H31" s="36" t="s">
        <v>32</v>
      </c>
      <c r="I31" s="36"/>
      <c r="J31" s="36"/>
      <c r="K31" s="36"/>
      <c r="L31" s="36"/>
      <c r="M31" s="36"/>
      <c r="N31" s="30"/>
      <c r="O31" s="30"/>
      <c r="P31" s="30"/>
      <c r="Q31" s="30"/>
    </row>
    <row r="32" spans="1:18" s="33" customFormat="1" ht="45" customHeight="1" x14ac:dyDescent="0.15">
      <c r="A32" s="30"/>
      <c r="B32" s="34" t="s">
        <v>44</v>
      </c>
      <c r="C32" s="34"/>
      <c r="D32" s="34"/>
      <c r="E32" s="47">
        <f>E11</f>
        <v>100000</v>
      </c>
      <c r="F32" s="49"/>
      <c r="G32" s="49"/>
      <c r="H32" s="36" t="s">
        <v>2</v>
      </c>
      <c r="I32" s="36"/>
      <c r="J32" s="36"/>
      <c r="K32" s="36"/>
      <c r="L32" s="36"/>
      <c r="M32" s="36"/>
      <c r="N32" s="30"/>
      <c r="O32" s="30"/>
      <c r="P32" s="30"/>
      <c r="Q32" s="30"/>
    </row>
    <row r="33" spans="1:17" s="33" customFormat="1" ht="30.75" customHeight="1" x14ac:dyDescent="0.1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1:17" s="33" customFormat="1" ht="30.75" customHeight="1" x14ac:dyDescent="0.1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1:17" s="33" customFormat="1" ht="30.75" customHeight="1" x14ac:dyDescent="0.1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1:17" s="33" customFormat="1" ht="30.75" customHeight="1" x14ac:dyDescent="0.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1:17" s="33" customFormat="1" ht="30.75" customHeight="1" x14ac:dyDescent="0.1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1:17" s="33" customFormat="1" ht="30.75" customHeight="1" x14ac:dyDescent="0.1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1:17" s="33" customFormat="1" ht="30.75" customHeight="1" x14ac:dyDescent="0.1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1:17" s="33" customFormat="1" ht="30.75" customHeight="1" x14ac:dyDescent="0.1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</sheetData>
  <sheetProtection algorithmName="SHA-512" hashValue="e8zrWbbv878XlRra6OpzLCQ6qepFepNE0atRcGhH7R9Kvi1HmAtDx0fPfM3LSDiK+4oHmWrxD4mzgF3PjapoHA==" saltValue="WPJLxWFtX5+yz+YcHcw70w==" spinCount="100000" sheet="1" objects="1" scenarios="1" selectLockedCells="1"/>
  <customSheetViews>
    <customSheetView guid="{82B311FB-57F0-41B4-A7C3-5882014D86A1}" scale="80" showGridLines="0" fitToPage="1">
      <selection activeCell="S2" sqref="S2:T2"/>
      <pageMargins left="0" right="0" top="0" bottom="0" header="0" footer="0"/>
      <printOptions horizontalCentered="1" verticalCentered="1"/>
      <pageSetup paperSize="9" orientation="landscape" r:id="rId1"/>
      <headerFooter alignWithMargins="0"/>
    </customSheetView>
    <customSheetView guid="{667EEF7A-262F-4932-80D5-D47443835FA2}" scale="90" showGridLines="0">
      <selection activeCell="B8" sqref="B8:D8"/>
      <pageMargins left="0" right="0" top="0.19685039370078741" bottom="0" header="0.19685039370078741" footer="0"/>
      <printOptions horizontalCentered="1"/>
      <pageSetup paperSize="9" scale="85" orientation="landscape" r:id="rId2"/>
      <headerFooter alignWithMargins="0"/>
    </customSheetView>
    <customSheetView guid="{00AC2CC8-9B9F-4979-A039-643E7B67D066}" scale="80" showGridLines="0" fitToPage="1">
      <selection activeCell="E24" sqref="E24"/>
      <pageMargins left="0" right="0" top="0" bottom="0" header="0" footer="0"/>
      <printOptions horizontalCentered="1" verticalCentered="1"/>
      <pageSetup paperSize="9" orientation="landscape" r:id="rId3"/>
      <headerFooter alignWithMargins="0"/>
    </customSheetView>
  </customSheetViews>
  <mergeCells count="24">
    <mergeCell ref="S1:T1"/>
    <mergeCell ref="S2:T2"/>
    <mergeCell ref="B2:D2"/>
    <mergeCell ref="K3:L3"/>
    <mergeCell ref="M3:O3"/>
    <mergeCell ref="K4:L4"/>
    <mergeCell ref="M4:O4"/>
    <mergeCell ref="K26:L26"/>
    <mergeCell ref="M26:O26"/>
    <mergeCell ref="K6:L6"/>
    <mergeCell ref="M6:N6"/>
    <mergeCell ref="K25:L25"/>
    <mergeCell ref="M25:O25"/>
    <mergeCell ref="B8:D8"/>
    <mergeCell ref="K8:L8"/>
    <mergeCell ref="M8:N8"/>
    <mergeCell ref="B23:D23"/>
    <mergeCell ref="K24:L24"/>
    <mergeCell ref="M24:O24"/>
    <mergeCell ref="K27:L27"/>
    <mergeCell ref="M27:N27"/>
    <mergeCell ref="B29:D29"/>
    <mergeCell ref="K28:L28"/>
    <mergeCell ref="M28:N28"/>
  </mergeCells>
  <phoneticPr fontId="3" type="noConversion"/>
  <dataValidations count="1">
    <dataValidation type="list" allowBlank="1" showInputMessage="1" showErrorMessage="1" sqref="S2" xr:uid="{4B008620-AAC9-4957-A160-7CDEAC350C4A}">
      <formula1>"Auto,Manual"</formula1>
    </dataValidation>
  </dataValidations>
  <printOptions horizontalCentered="1" verticalCentered="1"/>
  <pageMargins left="0" right="0" top="0" bottom="0" header="0" footer="0"/>
  <pageSetup paperSize="9" orientation="landscape" r:id="rId4"/>
  <headerFooter alignWithMargins="0"/>
  <ignoredErrors>
    <ignoredError sqref="E24 E25:E28 H28" unlockedFormula="1"/>
  </ignoredErrors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977" r:id="rId7" name="Spinner 1">
              <controlPr defaultSize="0" autoPict="0">
                <anchor moveWithCells="1" sizeWithCells="1">
                  <from>
                    <xdr:col>5</xdr:col>
                    <xdr:colOff>7620</xdr:colOff>
                    <xdr:row>1</xdr:row>
                    <xdr:rowOff>472440</xdr:rowOff>
                  </from>
                  <to>
                    <xdr:col>5</xdr:col>
                    <xdr:colOff>266700</xdr:colOff>
                    <xdr:row>2</xdr:row>
                    <xdr:rowOff>464820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78" r:id="rId8" name="Spinner 2">
              <controlPr defaultSize="0" autoPict="0">
                <anchor moveWithCells="1" sizeWithCells="1">
                  <from>
                    <xdr:col>5</xdr:col>
                    <xdr:colOff>15240</xdr:colOff>
                    <xdr:row>6</xdr:row>
                    <xdr:rowOff>7620</xdr:rowOff>
                  </from>
                  <to>
                    <xdr:col>5</xdr:col>
                    <xdr:colOff>289560</xdr:colOff>
                    <xdr:row>6</xdr:row>
                    <xdr:rowOff>464820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79" r:id="rId9" name="Spinner 3">
              <controlPr defaultSize="0" autoPict="0">
                <anchor moveWithCells="1" sizeWithCells="1">
                  <from>
                    <xdr:col>5</xdr:col>
                    <xdr:colOff>7620</xdr:colOff>
                    <xdr:row>9</xdr:row>
                    <xdr:rowOff>472440</xdr:rowOff>
                  </from>
                  <to>
                    <xdr:col>5</xdr:col>
                    <xdr:colOff>266700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88" r:id="rId10" name="Spinner 12">
              <controlPr defaultSize="0" autoPict="0">
                <anchor moveWithCells="1" sizeWithCells="1">
                  <from>
                    <xdr:col>14</xdr:col>
                    <xdr:colOff>7620</xdr:colOff>
                    <xdr:row>7</xdr:row>
                    <xdr:rowOff>0</xdr:rowOff>
                  </from>
                  <to>
                    <xdr:col>14</xdr:col>
                    <xdr:colOff>297180</xdr:colOff>
                    <xdr:row>7</xdr:row>
                    <xdr:rowOff>480060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89" r:id="rId11" name="Spinner 13">
              <controlPr defaultSize="0" autoPict="0">
                <anchor moveWithCells="1" sizeWithCells="1">
                  <from>
                    <xdr:col>14</xdr:col>
                    <xdr:colOff>7620</xdr:colOff>
                    <xdr:row>5</xdr:row>
                    <xdr:rowOff>0</xdr:rowOff>
                  </from>
                  <to>
                    <xdr:col>14</xdr:col>
                    <xdr:colOff>304800</xdr:colOff>
                    <xdr:row>5</xdr:row>
                    <xdr:rowOff>480060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91" r:id="rId12" name="Spinner 15">
              <controlPr defaultSize="0" autoPict="0">
                <anchor moveWithCells="1" sizeWithCells="1">
                  <from>
                    <xdr:col>7</xdr:col>
                    <xdr:colOff>609600</xdr:colOff>
                    <xdr:row>6</xdr:row>
                    <xdr:rowOff>7620</xdr:rowOff>
                  </from>
                  <to>
                    <xdr:col>8</xdr:col>
                    <xdr:colOff>274320</xdr:colOff>
                    <xdr:row>6</xdr:row>
                    <xdr:rowOff>464820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93" r:id="rId13" name="Spinner 17">
              <controlPr defaultSize="0" autoPict="0">
                <anchor moveWithCells="1" sizeWithCells="1">
                  <from>
                    <xdr:col>5</xdr:col>
                    <xdr:colOff>7620</xdr:colOff>
                    <xdr:row>3</xdr:row>
                    <xdr:rowOff>0</xdr:rowOff>
                  </from>
                  <to>
                    <xdr:col>5</xdr:col>
                    <xdr:colOff>266700</xdr:colOff>
                    <xdr:row>3</xdr:row>
                    <xdr:rowOff>472440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rgb="FF0070C0"/>
    <pageSetUpPr fitToPage="1"/>
  </sheetPr>
  <dimension ref="A1:R40"/>
  <sheetViews>
    <sheetView showGridLines="0" zoomScale="70" zoomScaleNormal="70" workbookViewId="0">
      <selection activeCell="D9" sqref="D9"/>
    </sheetView>
  </sheetViews>
  <sheetFormatPr defaultColWidth="9.16796875" defaultRowHeight="29.25" customHeight="1" x14ac:dyDescent="0.15"/>
  <cols>
    <col min="1" max="2" width="9.16796875" style="22"/>
    <col min="3" max="3" width="22.3828125" style="22" customWidth="1"/>
    <col min="4" max="4" width="22.11328125" style="22" bestFit="1" customWidth="1"/>
    <col min="5" max="5" width="1.6171875" style="22" customWidth="1"/>
    <col min="6" max="6" width="19.95703125" style="22" customWidth="1"/>
    <col min="7" max="7" width="16.98828125" style="22" customWidth="1"/>
    <col min="8" max="8" width="1.6171875" style="22" customWidth="1"/>
    <col min="9" max="9" width="10.65234375" style="22" customWidth="1"/>
    <col min="10" max="10" width="10.3828125" style="22" customWidth="1"/>
    <col min="11" max="11" width="1.34765625" style="22" customWidth="1"/>
    <col min="12" max="12" width="9.16796875" style="22"/>
    <col min="13" max="13" width="1.34765625" style="22" customWidth="1"/>
    <col min="14" max="14" width="9.84375" style="22" bestFit="1" customWidth="1"/>
    <col min="15" max="16" width="9.16796875" style="22"/>
    <col min="17" max="17" width="46.38671875" style="22" customWidth="1"/>
    <col min="18" max="18" width="12.26953125" style="22" customWidth="1"/>
    <col min="19" max="16384" width="9.16796875" style="22"/>
  </cols>
  <sheetData>
    <row r="1" spans="1:18" ht="29.25" customHeight="1" x14ac:dyDescent="0.15">
      <c r="A1" s="290"/>
      <c r="B1" s="290"/>
      <c r="C1" s="290"/>
      <c r="D1" s="290"/>
      <c r="E1" s="290"/>
      <c r="F1" s="290"/>
      <c r="G1" s="291"/>
      <c r="H1" s="291"/>
      <c r="I1" s="291"/>
      <c r="J1" s="291"/>
      <c r="K1" s="291"/>
      <c r="L1" s="290"/>
      <c r="M1" s="290"/>
      <c r="N1" s="290"/>
      <c r="O1" s="290"/>
      <c r="Q1" s="1159" t="s">
        <v>179</v>
      </c>
      <c r="R1" s="1160"/>
    </row>
    <row r="2" spans="1:18" ht="29.25" customHeight="1" x14ac:dyDescent="0.15">
      <c r="A2" s="290"/>
      <c r="B2" s="290"/>
      <c r="C2" s="383">
        <f>SUM(C8:C17)</f>
        <v>1663200</v>
      </c>
      <c r="D2" s="390">
        <f>SUM(D8:D17)</f>
        <v>548020000</v>
      </c>
      <c r="E2" s="294"/>
      <c r="F2" s="1167">
        <f>SUM(F8:F18)</f>
        <v>549683200</v>
      </c>
      <c r="G2" s="1167"/>
      <c r="H2" s="300"/>
      <c r="I2" s="1163" t="str">
        <f>IF(F2&gt;=1,"Total 10 Yrs.",0)</f>
        <v>Total 10 Yrs.</v>
      </c>
      <c r="J2" s="1163"/>
      <c r="K2" s="1163"/>
      <c r="L2" s="300"/>
      <c r="M2" s="294"/>
      <c r="N2" s="294"/>
      <c r="O2" s="290"/>
      <c r="Q2" s="1161"/>
      <c r="R2" s="1162"/>
    </row>
    <row r="3" spans="1:18" ht="38.25" x14ac:dyDescent="0.15">
      <c r="A3" s="290"/>
      <c r="B3" s="290"/>
      <c r="C3" s="292" t="s">
        <v>45</v>
      </c>
      <c r="D3" s="292" t="s">
        <v>46</v>
      </c>
      <c r="E3" s="293"/>
      <c r="F3" s="294"/>
      <c r="G3" s="295"/>
      <c r="H3" s="295"/>
      <c r="I3" s="295"/>
      <c r="J3" s="295"/>
      <c r="K3" s="295"/>
      <c r="L3" s="294"/>
      <c r="M3" s="294"/>
      <c r="N3" s="294"/>
      <c r="O3" s="290"/>
      <c r="Q3" s="888" t="str">
        <f>COM!$B$1</f>
        <v>สุพรีม ไลฟ์  โพรเทคเตอร์ A90/20</v>
      </c>
      <c r="R3" s="1158"/>
    </row>
    <row r="4" spans="1:18" ht="29.25" customHeight="1" x14ac:dyDescent="0.15">
      <c r="A4" s="291"/>
      <c r="B4" s="291"/>
      <c r="C4" s="381">
        <f>PA!H4</f>
        <v>1400</v>
      </c>
      <c r="D4" s="388">
        <f>Life!E11</f>
        <v>100000</v>
      </c>
      <c r="E4" s="303"/>
      <c r="F4" s="1165" t="s">
        <v>47</v>
      </c>
      <c r="G4" s="1165"/>
      <c r="H4" s="294"/>
      <c r="I4" s="359" t="s">
        <v>39</v>
      </c>
      <c r="J4" s="365">
        <f>PA!L3</f>
        <v>30</v>
      </c>
      <c r="K4" s="50"/>
      <c r="L4" s="294"/>
      <c r="M4" s="294"/>
      <c r="N4" s="294"/>
      <c r="O4" s="290"/>
      <c r="Q4" s="888"/>
      <c r="R4" s="1158"/>
    </row>
    <row r="5" spans="1:18" ht="29.25" customHeight="1" x14ac:dyDescent="0.15">
      <c r="A5" s="291"/>
      <c r="B5" s="291"/>
      <c r="C5" s="382">
        <f>PA!H5</f>
        <v>30</v>
      </c>
      <c r="D5" s="389">
        <f>Life!E10</f>
        <v>40</v>
      </c>
      <c r="E5" s="303"/>
      <c r="F5" s="1166" t="s">
        <v>48</v>
      </c>
      <c r="G5" s="1166"/>
      <c r="H5" s="294"/>
      <c r="I5" s="360" t="s">
        <v>28</v>
      </c>
      <c r="J5" s="366">
        <f>TIME!D5</f>
        <v>2569</v>
      </c>
      <c r="K5" s="50"/>
      <c r="L5" s="294"/>
      <c r="M5" s="294"/>
      <c r="N5" s="294"/>
      <c r="O5" s="290"/>
    </row>
    <row r="6" spans="1:18" ht="29.25" customHeight="1" thickBot="1" x14ac:dyDescent="0.2">
      <c r="A6" s="291"/>
      <c r="B6" s="291"/>
      <c r="C6" s="296"/>
      <c r="D6" s="296"/>
      <c r="E6" s="296"/>
      <c r="F6" s="294"/>
      <c r="G6" s="294"/>
      <c r="H6" s="294"/>
      <c r="I6" s="294"/>
      <c r="J6" s="294"/>
      <c r="K6" s="294"/>
      <c r="L6" s="297"/>
      <c r="M6" s="294"/>
      <c r="N6" s="298"/>
      <c r="O6" s="290"/>
    </row>
    <row r="7" spans="1:18" ht="30.75" customHeight="1" x14ac:dyDescent="0.15">
      <c r="A7" s="291"/>
      <c r="B7" s="355" t="s">
        <v>27</v>
      </c>
      <c r="C7" s="356" t="s">
        <v>89</v>
      </c>
      <c r="D7" s="357" t="s">
        <v>174</v>
      </c>
      <c r="E7" s="304"/>
      <c r="F7" s="358" t="s">
        <v>50</v>
      </c>
      <c r="G7" s="358" t="s">
        <v>51</v>
      </c>
      <c r="H7" s="301"/>
      <c r="I7" s="358" t="s">
        <v>53</v>
      </c>
      <c r="J7" s="358" t="s">
        <v>52</v>
      </c>
      <c r="K7" s="305"/>
      <c r="L7" s="358" t="s">
        <v>39</v>
      </c>
      <c r="M7" s="307"/>
      <c r="N7" s="358" t="s">
        <v>28</v>
      </c>
      <c r="O7" s="290"/>
    </row>
    <row r="8" spans="1:18" ht="30.75" customHeight="1" x14ac:dyDescent="0.15">
      <c r="A8" s="291"/>
      <c r="B8" s="361">
        <v>1</v>
      </c>
      <c r="C8" s="378">
        <f>PA!I9</f>
        <v>30240</v>
      </c>
      <c r="D8" s="385">
        <f>'COM10'!D27</f>
        <v>30040000</v>
      </c>
      <c r="E8" s="302"/>
      <c r="F8" s="237">
        <f t="shared" ref="F8:F17" si="0">SUM(C8:D8)</f>
        <v>30070240</v>
      </c>
      <c r="G8" s="240">
        <f t="shared" ref="G8:G17" si="1">F8/12</f>
        <v>2505853.3333333335</v>
      </c>
      <c r="H8" s="302"/>
      <c r="I8" s="378">
        <f>PA!L9</f>
        <v>360</v>
      </c>
      <c r="J8" s="388">
        <f>Life!E9</f>
        <v>480</v>
      </c>
      <c r="K8" s="306"/>
      <c r="L8" s="127">
        <f>J4</f>
        <v>30</v>
      </c>
      <c r="M8" s="308"/>
      <c r="N8" s="243">
        <f>J5</f>
        <v>2569</v>
      </c>
      <c r="O8" s="290"/>
    </row>
    <row r="9" spans="1:18" ht="30.75" customHeight="1" x14ac:dyDescent="0.15">
      <c r="A9" s="291"/>
      <c r="B9" s="362">
        <v>2</v>
      </c>
      <c r="C9" s="379">
        <f>PA!I10</f>
        <v>60480</v>
      </c>
      <c r="D9" s="386">
        <f>'COM10'!E27</f>
        <v>37680000</v>
      </c>
      <c r="E9" s="302"/>
      <c r="F9" s="238">
        <f t="shared" si="0"/>
        <v>37740480</v>
      </c>
      <c r="G9" s="241">
        <f t="shared" si="1"/>
        <v>3145040</v>
      </c>
      <c r="H9" s="302"/>
      <c r="I9" s="379">
        <f>I8*2</f>
        <v>720</v>
      </c>
      <c r="J9" s="391">
        <f>J8*2</f>
        <v>960</v>
      </c>
      <c r="K9" s="306"/>
      <c r="L9" s="128">
        <f t="shared" ref="L9:L17" si="2">L8+1</f>
        <v>31</v>
      </c>
      <c r="M9" s="308"/>
      <c r="N9" s="244">
        <f>N8+1</f>
        <v>2570</v>
      </c>
      <c r="O9" s="290"/>
    </row>
    <row r="10" spans="1:18" ht="30.75" customHeight="1" x14ac:dyDescent="0.15">
      <c r="A10" s="291"/>
      <c r="B10" s="362">
        <v>3</v>
      </c>
      <c r="C10" s="379">
        <f>PA!I11</f>
        <v>90720</v>
      </c>
      <c r="D10" s="386">
        <f>'COM10'!F27</f>
        <v>46800000</v>
      </c>
      <c r="E10" s="302"/>
      <c r="F10" s="238">
        <f t="shared" si="0"/>
        <v>46890720</v>
      </c>
      <c r="G10" s="241">
        <f t="shared" si="1"/>
        <v>3907560</v>
      </c>
      <c r="H10" s="302"/>
      <c r="I10" s="379">
        <f>I8*3</f>
        <v>1080</v>
      </c>
      <c r="J10" s="391">
        <f>J8*3</f>
        <v>1440</v>
      </c>
      <c r="K10" s="306"/>
      <c r="L10" s="128">
        <f t="shared" si="2"/>
        <v>32</v>
      </c>
      <c r="M10" s="308"/>
      <c r="N10" s="244">
        <f t="shared" ref="N10:N17" si="3">N9+1</f>
        <v>2571</v>
      </c>
      <c r="O10" s="290"/>
    </row>
    <row r="11" spans="1:18" ht="30.75" customHeight="1" x14ac:dyDescent="0.15">
      <c r="A11" s="291"/>
      <c r="B11" s="362">
        <v>4</v>
      </c>
      <c r="C11" s="379">
        <f>PA!I12</f>
        <v>120960</v>
      </c>
      <c r="D11" s="386">
        <f>'COM10'!G27</f>
        <v>51900000</v>
      </c>
      <c r="E11" s="302"/>
      <c r="F11" s="238">
        <f t="shared" si="0"/>
        <v>52020960</v>
      </c>
      <c r="G11" s="241">
        <f t="shared" si="1"/>
        <v>4335080</v>
      </c>
      <c r="H11" s="302"/>
      <c r="I11" s="379">
        <f>I8*4</f>
        <v>1440</v>
      </c>
      <c r="J11" s="391">
        <f>J8*4</f>
        <v>1920</v>
      </c>
      <c r="K11" s="306"/>
      <c r="L11" s="128">
        <f t="shared" si="2"/>
        <v>33</v>
      </c>
      <c r="M11" s="308"/>
      <c r="N11" s="244">
        <f t="shared" si="3"/>
        <v>2572</v>
      </c>
      <c r="O11" s="290"/>
    </row>
    <row r="12" spans="1:18" ht="30.75" customHeight="1" x14ac:dyDescent="0.15">
      <c r="A12" s="291"/>
      <c r="B12" s="362">
        <v>5</v>
      </c>
      <c r="C12" s="379">
        <f>PA!I13</f>
        <v>151200</v>
      </c>
      <c r="D12" s="386">
        <f>'COM10'!H27</f>
        <v>55650000</v>
      </c>
      <c r="E12" s="302"/>
      <c r="F12" s="238">
        <f t="shared" si="0"/>
        <v>55801200</v>
      </c>
      <c r="G12" s="241">
        <f t="shared" si="1"/>
        <v>4650100</v>
      </c>
      <c r="H12" s="302"/>
      <c r="I12" s="379">
        <f>I8*5</f>
        <v>1800</v>
      </c>
      <c r="J12" s="391">
        <f>J8*5</f>
        <v>2400</v>
      </c>
      <c r="K12" s="306"/>
      <c r="L12" s="128">
        <f t="shared" si="2"/>
        <v>34</v>
      </c>
      <c r="M12" s="308"/>
      <c r="N12" s="244">
        <f t="shared" si="3"/>
        <v>2573</v>
      </c>
      <c r="O12" s="290"/>
    </row>
    <row r="13" spans="1:18" ht="30.75" customHeight="1" x14ac:dyDescent="0.15">
      <c r="A13" s="291"/>
      <c r="B13" s="362">
        <v>6</v>
      </c>
      <c r="C13" s="379">
        <f>PA!I14</f>
        <v>181440</v>
      </c>
      <c r="D13" s="386">
        <f>'COM10'!I27</f>
        <v>59400000</v>
      </c>
      <c r="E13" s="302"/>
      <c r="F13" s="238">
        <f t="shared" si="0"/>
        <v>59581440</v>
      </c>
      <c r="G13" s="241">
        <f t="shared" si="1"/>
        <v>4965120</v>
      </c>
      <c r="H13" s="302"/>
      <c r="I13" s="379">
        <f>I8*6</f>
        <v>2160</v>
      </c>
      <c r="J13" s="391">
        <f>J8*6</f>
        <v>2880</v>
      </c>
      <c r="K13" s="306"/>
      <c r="L13" s="128">
        <f t="shared" si="2"/>
        <v>35</v>
      </c>
      <c r="M13" s="308"/>
      <c r="N13" s="244">
        <f t="shared" si="3"/>
        <v>2574</v>
      </c>
      <c r="O13" s="290"/>
    </row>
    <row r="14" spans="1:18" ht="30.75" customHeight="1" x14ac:dyDescent="0.15">
      <c r="A14" s="291"/>
      <c r="B14" s="362">
        <v>7</v>
      </c>
      <c r="C14" s="379">
        <f>PA!I15</f>
        <v>211680</v>
      </c>
      <c r="D14" s="386">
        <f>'COM10'!J27</f>
        <v>63150000</v>
      </c>
      <c r="E14" s="302"/>
      <c r="F14" s="238">
        <f t="shared" si="0"/>
        <v>63361680</v>
      </c>
      <c r="G14" s="241">
        <f t="shared" si="1"/>
        <v>5280140</v>
      </c>
      <c r="H14" s="302"/>
      <c r="I14" s="379">
        <f>I8*7</f>
        <v>2520</v>
      </c>
      <c r="J14" s="391">
        <f>J8*7</f>
        <v>3360</v>
      </c>
      <c r="K14" s="306"/>
      <c r="L14" s="128">
        <f t="shared" si="2"/>
        <v>36</v>
      </c>
      <c r="M14" s="308"/>
      <c r="N14" s="244">
        <f t="shared" si="3"/>
        <v>2575</v>
      </c>
      <c r="O14" s="290"/>
    </row>
    <row r="15" spans="1:18" ht="30.75" customHeight="1" x14ac:dyDescent="0.15">
      <c r="A15" s="291"/>
      <c r="B15" s="362">
        <v>8</v>
      </c>
      <c r="C15" s="379">
        <f>PA!I16</f>
        <v>241920</v>
      </c>
      <c r="D15" s="386">
        <f>'COM10'!K27</f>
        <v>66900000</v>
      </c>
      <c r="E15" s="302"/>
      <c r="F15" s="238">
        <f t="shared" si="0"/>
        <v>67141920</v>
      </c>
      <c r="G15" s="241">
        <f t="shared" si="1"/>
        <v>5595160</v>
      </c>
      <c r="H15" s="302"/>
      <c r="I15" s="379">
        <f>I8*8</f>
        <v>2880</v>
      </c>
      <c r="J15" s="391">
        <f>J8*8</f>
        <v>3840</v>
      </c>
      <c r="K15" s="306"/>
      <c r="L15" s="128">
        <f t="shared" si="2"/>
        <v>37</v>
      </c>
      <c r="M15" s="308"/>
      <c r="N15" s="244">
        <f t="shared" si="3"/>
        <v>2576</v>
      </c>
      <c r="O15" s="290"/>
    </row>
    <row r="16" spans="1:18" ht="30.75" customHeight="1" x14ac:dyDescent="0.15">
      <c r="A16" s="291"/>
      <c r="B16" s="362">
        <v>9</v>
      </c>
      <c r="C16" s="379">
        <f>PA!I17</f>
        <v>272160</v>
      </c>
      <c r="D16" s="386">
        <f>'COM10'!L27</f>
        <v>68250000</v>
      </c>
      <c r="E16" s="302"/>
      <c r="F16" s="238">
        <f t="shared" si="0"/>
        <v>68522160</v>
      </c>
      <c r="G16" s="241">
        <f t="shared" si="1"/>
        <v>5710180</v>
      </c>
      <c r="H16" s="302"/>
      <c r="I16" s="379">
        <f>I8*9</f>
        <v>3240</v>
      </c>
      <c r="J16" s="391">
        <f>J8*9</f>
        <v>4320</v>
      </c>
      <c r="K16" s="306"/>
      <c r="L16" s="128">
        <f t="shared" si="2"/>
        <v>38</v>
      </c>
      <c r="M16" s="308"/>
      <c r="N16" s="244">
        <f t="shared" si="3"/>
        <v>2577</v>
      </c>
      <c r="O16" s="290"/>
    </row>
    <row r="17" spans="1:15" ht="30.75" customHeight="1" thickBot="1" x14ac:dyDescent="0.2">
      <c r="A17" s="291"/>
      <c r="B17" s="363">
        <v>10</v>
      </c>
      <c r="C17" s="380">
        <f>PA!I18</f>
        <v>302400</v>
      </c>
      <c r="D17" s="387">
        <f>'COM10'!M27</f>
        <v>68250000</v>
      </c>
      <c r="E17" s="302"/>
      <c r="F17" s="239">
        <f t="shared" si="0"/>
        <v>68552400</v>
      </c>
      <c r="G17" s="242">
        <f t="shared" si="1"/>
        <v>5712700</v>
      </c>
      <c r="H17" s="302"/>
      <c r="I17" s="384">
        <f>I8*10</f>
        <v>3600</v>
      </c>
      <c r="J17" s="392">
        <f>J8*10</f>
        <v>4800</v>
      </c>
      <c r="K17" s="306"/>
      <c r="L17" s="129">
        <f t="shared" si="2"/>
        <v>39</v>
      </c>
      <c r="M17" s="308"/>
      <c r="N17" s="245">
        <f t="shared" si="3"/>
        <v>2578</v>
      </c>
      <c r="O17" s="290"/>
    </row>
    <row r="18" spans="1:15" ht="29.25" customHeight="1" x14ac:dyDescent="0.15">
      <c r="A18" s="291"/>
      <c r="B18" s="291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</row>
    <row r="19" spans="1:15" ht="29.25" customHeight="1" x14ac:dyDescent="0.15">
      <c r="A19" s="290"/>
      <c r="B19" s="290"/>
      <c r="C19" s="290"/>
      <c r="D19" s="290"/>
      <c r="E19" s="290"/>
      <c r="F19" s="290"/>
      <c r="G19" s="299"/>
      <c r="H19" s="299"/>
      <c r="I19" s="290"/>
      <c r="J19" s="290"/>
      <c r="K19" s="290"/>
      <c r="L19" s="290"/>
      <c r="M19" s="290"/>
      <c r="N19" s="290"/>
      <c r="O19" s="290"/>
    </row>
    <row r="20" spans="1:15" ht="29.25" customHeight="1" x14ac:dyDescent="0.15">
      <c r="A20" s="290"/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</row>
    <row r="21" spans="1:15" s="23" customFormat="1" ht="29.25" customHeight="1" thickBot="1" x14ac:dyDescent="0.2"/>
    <row r="22" spans="1:15" s="23" customFormat="1" ht="29.25" customHeight="1" thickBot="1" x14ac:dyDescent="0.2">
      <c r="C22" s="51">
        <f>C2</f>
        <v>1663200</v>
      </c>
      <c r="D22" s="52">
        <f>D2</f>
        <v>548020000</v>
      </c>
      <c r="E22" s="53" t="e">
        <f>#REF!</f>
        <v>#REF!</v>
      </c>
      <c r="F22" s="54">
        <f>F2</f>
        <v>549683200</v>
      </c>
      <c r="H22" s="55"/>
      <c r="I22" s="1164" t="str">
        <f>IF(F22&gt;=1,"Total 10 Yrs.",0)</f>
        <v>Total 10 Yrs.</v>
      </c>
      <c r="J22" s="1164"/>
    </row>
    <row r="23" spans="1:15" s="23" customFormat="1" ht="39" thickBot="1" x14ac:dyDescent="0.2">
      <c r="C23" s="56" t="s">
        <v>45</v>
      </c>
      <c r="D23" s="56" t="s">
        <v>46</v>
      </c>
      <c r="E23" s="27"/>
    </row>
    <row r="24" spans="1:15" s="23" customFormat="1" ht="29.25" customHeight="1" x14ac:dyDescent="0.15">
      <c r="C24" s="57">
        <f>C4</f>
        <v>1400</v>
      </c>
      <c r="D24" s="25">
        <f>D4</f>
        <v>100000</v>
      </c>
      <c r="E24" s="58"/>
      <c r="F24" s="59" t="s">
        <v>47</v>
      </c>
      <c r="I24" s="24" t="s">
        <v>39</v>
      </c>
      <c r="J24" s="26">
        <f>J4</f>
        <v>30</v>
      </c>
    </row>
    <row r="25" spans="1:15" s="23" customFormat="1" ht="29.25" customHeight="1" thickBot="1" x14ac:dyDescent="0.2">
      <c r="C25" s="60">
        <f>C5</f>
        <v>30</v>
      </c>
      <c r="D25" s="28">
        <f>D5</f>
        <v>40</v>
      </c>
      <c r="E25" s="61"/>
      <c r="F25" s="62" t="s">
        <v>48</v>
      </c>
      <c r="I25" s="63" t="s">
        <v>28</v>
      </c>
      <c r="J25" s="64">
        <f>J5</f>
        <v>2569</v>
      </c>
    </row>
    <row r="26" spans="1:15" s="23" customFormat="1" ht="29.25" customHeight="1" thickBot="1" x14ac:dyDescent="0.2">
      <c r="C26" s="65"/>
      <c r="D26" s="65"/>
      <c r="E26" s="65"/>
      <c r="L26" s="27"/>
      <c r="N26" s="66"/>
    </row>
    <row r="27" spans="1:15" s="23" customFormat="1" ht="30.75" customHeight="1" thickBot="1" x14ac:dyDescent="0.2">
      <c r="B27" s="67" t="s">
        <v>27</v>
      </c>
      <c r="C27" s="68" t="str">
        <f>C7</f>
        <v>FYC PA</v>
      </c>
      <c r="D27" s="69" t="s">
        <v>49</v>
      </c>
      <c r="E27" s="70"/>
      <c r="F27" s="68" t="s">
        <v>50</v>
      </c>
      <c r="G27" s="71" t="s">
        <v>51</v>
      </c>
      <c r="H27" s="70"/>
      <c r="I27" s="68" t="s">
        <v>52</v>
      </c>
      <c r="J27" s="71" t="s">
        <v>53</v>
      </c>
      <c r="K27" s="72"/>
      <c r="L27" s="67" t="s">
        <v>39</v>
      </c>
      <c r="M27" s="72"/>
      <c r="N27" s="67" t="s">
        <v>28</v>
      </c>
    </row>
    <row r="28" spans="1:15" s="23" customFormat="1" ht="30.75" customHeight="1" x14ac:dyDescent="0.15">
      <c r="B28" s="73">
        <v>1</v>
      </c>
      <c r="C28" s="74">
        <f t="shared" ref="C28:D37" si="4">C8</f>
        <v>30240</v>
      </c>
      <c r="D28" s="75">
        <f t="shared" si="4"/>
        <v>30040000</v>
      </c>
      <c r="E28" s="76"/>
      <c r="F28" s="74">
        <f t="shared" ref="F28:G37" si="5">F8</f>
        <v>30070240</v>
      </c>
      <c r="G28" s="75">
        <f t="shared" si="5"/>
        <v>2505853.3333333335</v>
      </c>
      <c r="H28" s="76"/>
      <c r="I28" s="77">
        <f t="shared" ref="I28:I37" si="6">J8</f>
        <v>480</v>
      </c>
      <c r="J28" s="78">
        <f t="shared" ref="J28:J37" si="7">I8</f>
        <v>360</v>
      </c>
      <c r="K28" s="79"/>
      <c r="L28" s="80">
        <f t="shared" ref="L28:L37" si="8">L8</f>
        <v>30</v>
      </c>
      <c r="M28" s="81"/>
      <c r="N28" s="82">
        <f>N8</f>
        <v>2569</v>
      </c>
    </row>
    <row r="29" spans="1:15" s="23" customFormat="1" ht="30.75" customHeight="1" x14ac:dyDescent="0.15">
      <c r="B29" s="83">
        <v>2</v>
      </c>
      <c r="C29" s="84">
        <f t="shared" si="4"/>
        <v>60480</v>
      </c>
      <c r="D29" s="85">
        <f t="shared" si="4"/>
        <v>37680000</v>
      </c>
      <c r="E29" s="76"/>
      <c r="F29" s="84">
        <f t="shared" si="5"/>
        <v>37740480</v>
      </c>
      <c r="G29" s="85">
        <f t="shared" si="5"/>
        <v>3145040</v>
      </c>
      <c r="H29" s="76"/>
      <c r="I29" s="86">
        <f t="shared" si="6"/>
        <v>960</v>
      </c>
      <c r="J29" s="87">
        <f t="shared" si="7"/>
        <v>720</v>
      </c>
      <c r="K29" s="79"/>
      <c r="L29" s="88">
        <f t="shared" si="8"/>
        <v>31</v>
      </c>
      <c r="M29" s="81"/>
      <c r="N29" s="83">
        <f t="shared" ref="N29:N37" si="9">N9</f>
        <v>2570</v>
      </c>
    </row>
    <row r="30" spans="1:15" s="23" customFormat="1" ht="30.75" customHeight="1" x14ac:dyDescent="0.15">
      <c r="B30" s="83">
        <v>3</v>
      </c>
      <c r="C30" s="84">
        <f t="shared" si="4"/>
        <v>90720</v>
      </c>
      <c r="D30" s="85">
        <f t="shared" si="4"/>
        <v>46800000</v>
      </c>
      <c r="E30" s="76"/>
      <c r="F30" s="84">
        <f t="shared" si="5"/>
        <v>46890720</v>
      </c>
      <c r="G30" s="85">
        <f t="shared" si="5"/>
        <v>3907560</v>
      </c>
      <c r="H30" s="76"/>
      <c r="I30" s="86">
        <f t="shared" si="6"/>
        <v>1440</v>
      </c>
      <c r="J30" s="87">
        <f t="shared" si="7"/>
        <v>1080</v>
      </c>
      <c r="K30" s="79"/>
      <c r="L30" s="88">
        <f t="shared" si="8"/>
        <v>32</v>
      </c>
      <c r="M30" s="81"/>
      <c r="N30" s="83">
        <f t="shared" si="9"/>
        <v>2571</v>
      </c>
    </row>
    <row r="31" spans="1:15" s="23" customFormat="1" ht="30.75" customHeight="1" x14ac:dyDescent="0.15">
      <c r="B31" s="83">
        <v>4</v>
      </c>
      <c r="C31" s="84">
        <f t="shared" si="4"/>
        <v>120960</v>
      </c>
      <c r="D31" s="85">
        <f t="shared" si="4"/>
        <v>51900000</v>
      </c>
      <c r="E31" s="76"/>
      <c r="F31" s="84">
        <f t="shared" si="5"/>
        <v>52020960</v>
      </c>
      <c r="G31" s="85">
        <f t="shared" si="5"/>
        <v>4335080</v>
      </c>
      <c r="H31" s="76"/>
      <c r="I31" s="86">
        <f t="shared" si="6"/>
        <v>1920</v>
      </c>
      <c r="J31" s="87">
        <f t="shared" si="7"/>
        <v>1440</v>
      </c>
      <c r="K31" s="79"/>
      <c r="L31" s="88">
        <f t="shared" si="8"/>
        <v>33</v>
      </c>
      <c r="M31" s="81"/>
      <c r="N31" s="83">
        <f t="shared" si="9"/>
        <v>2572</v>
      </c>
    </row>
    <row r="32" spans="1:15" s="23" customFormat="1" ht="30.75" customHeight="1" x14ac:dyDescent="0.15">
      <c r="B32" s="83">
        <v>5</v>
      </c>
      <c r="C32" s="84">
        <f t="shared" si="4"/>
        <v>151200</v>
      </c>
      <c r="D32" s="85">
        <f t="shared" si="4"/>
        <v>55650000</v>
      </c>
      <c r="E32" s="76"/>
      <c r="F32" s="84">
        <f t="shared" si="5"/>
        <v>55801200</v>
      </c>
      <c r="G32" s="85">
        <f t="shared" si="5"/>
        <v>4650100</v>
      </c>
      <c r="H32" s="76"/>
      <c r="I32" s="86">
        <f t="shared" si="6"/>
        <v>2400</v>
      </c>
      <c r="J32" s="87">
        <f t="shared" si="7"/>
        <v>1800</v>
      </c>
      <c r="K32" s="79"/>
      <c r="L32" s="88">
        <f t="shared" si="8"/>
        <v>34</v>
      </c>
      <c r="M32" s="81"/>
      <c r="N32" s="83">
        <f t="shared" si="9"/>
        <v>2573</v>
      </c>
    </row>
    <row r="33" spans="2:14" s="23" customFormat="1" ht="30.75" customHeight="1" x14ac:dyDescent="0.15">
      <c r="B33" s="83">
        <v>6</v>
      </c>
      <c r="C33" s="84">
        <f t="shared" si="4"/>
        <v>181440</v>
      </c>
      <c r="D33" s="85">
        <f t="shared" si="4"/>
        <v>59400000</v>
      </c>
      <c r="E33" s="76"/>
      <c r="F33" s="84">
        <f t="shared" si="5"/>
        <v>59581440</v>
      </c>
      <c r="G33" s="85">
        <f t="shared" si="5"/>
        <v>4965120</v>
      </c>
      <c r="H33" s="76"/>
      <c r="I33" s="86">
        <f t="shared" si="6"/>
        <v>2880</v>
      </c>
      <c r="J33" s="87">
        <f t="shared" si="7"/>
        <v>2160</v>
      </c>
      <c r="K33" s="79"/>
      <c r="L33" s="88">
        <f t="shared" si="8"/>
        <v>35</v>
      </c>
      <c r="M33" s="81"/>
      <c r="N33" s="83">
        <f t="shared" si="9"/>
        <v>2574</v>
      </c>
    </row>
    <row r="34" spans="2:14" s="23" customFormat="1" ht="30.75" customHeight="1" x14ac:dyDescent="0.15">
      <c r="B34" s="83">
        <v>7</v>
      </c>
      <c r="C34" s="84">
        <f t="shared" si="4"/>
        <v>211680</v>
      </c>
      <c r="D34" s="85">
        <f t="shared" si="4"/>
        <v>63150000</v>
      </c>
      <c r="E34" s="76"/>
      <c r="F34" s="84">
        <f t="shared" si="5"/>
        <v>63361680</v>
      </c>
      <c r="G34" s="85">
        <f t="shared" si="5"/>
        <v>5280140</v>
      </c>
      <c r="H34" s="76"/>
      <c r="I34" s="86">
        <f t="shared" si="6"/>
        <v>3360</v>
      </c>
      <c r="J34" s="87">
        <f t="shared" si="7"/>
        <v>2520</v>
      </c>
      <c r="K34" s="79"/>
      <c r="L34" s="88">
        <f t="shared" si="8"/>
        <v>36</v>
      </c>
      <c r="M34" s="81"/>
      <c r="N34" s="83">
        <f t="shared" si="9"/>
        <v>2575</v>
      </c>
    </row>
    <row r="35" spans="2:14" s="23" customFormat="1" ht="30.75" customHeight="1" x14ac:dyDescent="0.15">
      <c r="B35" s="83">
        <v>8</v>
      </c>
      <c r="C35" s="84">
        <f t="shared" si="4"/>
        <v>241920</v>
      </c>
      <c r="D35" s="85">
        <f t="shared" si="4"/>
        <v>66900000</v>
      </c>
      <c r="E35" s="76"/>
      <c r="F35" s="84">
        <f t="shared" si="5"/>
        <v>67141920</v>
      </c>
      <c r="G35" s="85">
        <f t="shared" si="5"/>
        <v>5595160</v>
      </c>
      <c r="H35" s="76"/>
      <c r="I35" s="86">
        <f t="shared" si="6"/>
        <v>3840</v>
      </c>
      <c r="J35" s="87">
        <f t="shared" si="7"/>
        <v>2880</v>
      </c>
      <c r="K35" s="79"/>
      <c r="L35" s="88">
        <f t="shared" si="8"/>
        <v>37</v>
      </c>
      <c r="M35" s="81"/>
      <c r="N35" s="83">
        <f t="shared" si="9"/>
        <v>2576</v>
      </c>
    </row>
    <row r="36" spans="2:14" s="23" customFormat="1" ht="30.75" customHeight="1" x14ac:dyDescent="0.15">
      <c r="B36" s="83">
        <v>9</v>
      </c>
      <c r="C36" s="84">
        <f t="shared" si="4"/>
        <v>272160</v>
      </c>
      <c r="D36" s="85">
        <f t="shared" si="4"/>
        <v>68250000</v>
      </c>
      <c r="E36" s="76"/>
      <c r="F36" s="84">
        <f t="shared" si="5"/>
        <v>68522160</v>
      </c>
      <c r="G36" s="85">
        <f t="shared" si="5"/>
        <v>5710180</v>
      </c>
      <c r="H36" s="76"/>
      <c r="I36" s="86">
        <f t="shared" si="6"/>
        <v>4320</v>
      </c>
      <c r="J36" s="87">
        <f t="shared" si="7"/>
        <v>3240</v>
      </c>
      <c r="K36" s="79"/>
      <c r="L36" s="88">
        <f t="shared" si="8"/>
        <v>38</v>
      </c>
      <c r="M36" s="81"/>
      <c r="N36" s="83">
        <f t="shared" si="9"/>
        <v>2577</v>
      </c>
    </row>
    <row r="37" spans="2:14" s="23" customFormat="1" ht="30.75" customHeight="1" thickBot="1" x14ac:dyDescent="0.2">
      <c r="B37" s="89">
        <v>10</v>
      </c>
      <c r="C37" s="90">
        <f t="shared" si="4"/>
        <v>302400</v>
      </c>
      <c r="D37" s="91">
        <f t="shared" si="4"/>
        <v>68250000</v>
      </c>
      <c r="E37" s="76"/>
      <c r="F37" s="90">
        <f t="shared" si="5"/>
        <v>68552400</v>
      </c>
      <c r="G37" s="91">
        <f t="shared" si="5"/>
        <v>5712700</v>
      </c>
      <c r="H37" s="76"/>
      <c r="I37" s="92">
        <f t="shared" si="6"/>
        <v>4800</v>
      </c>
      <c r="J37" s="93">
        <f t="shared" si="7"/>
        <v>3600</v>
      </c>
      <c r="K37" s="79"/>
      <c r="L37" s="94">
        <f t="shared" si="8"/>
        <v>39</v>
      </c>
      <c r="M37" s="81"/>
      <c r="N37" s="89">
        <f t="shared" si="9"/>
        <v>2578</v>
      </c>
    </row>
    <row r="38" spans="2:14" s="23" customFormat="1" ht="29.25" customHeight="1" x14ac:dyDescent="0.15"/>
    <row r="39" spans="2:14" s="23" customFormat="1" ht="29.25" customHeight="1" x14ac:dyDescent="0.15">
      <c r="G39" s="29"/>
      <c r="H39" s="29"/>
    </row>
    <row r="40" spans="2:14" s="23" customFormat="1" ht="29.25" customHeight="1" x14ac:dyDescent="0.15"/>
  </sheetData>
  <sheetProtection algorithmName="SHA-512" hashValue="CWFwh/AqwTdPaLyD1cXlOhlXoqdU7bRh72dX4v+NObdEHrNqQOoOf8pN0ySWJqjzUH8Ut+dzoQ+q++VqjGDzNg==" saltValue="aC4lJz6nXLmqJsXwXHcggg==" spinCount="100000" sheet="1" objects="1" scenarios="1" selectLockedCells="1"/>
  <customSheetViews>
    <customSheetView guid="{82B311FB-57F0-41B4-A7C3-5882014D86A1}" scale="70" showGridLines="0" fitToPage="1">
      <selection activeCell="D9" sqref="D9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95" orientation="landscape" r:id="rId1"/>
      <headerFooter alignWithMargins="0"/>
    </customSheetView>
    <customSheetView guid="{667EEF7A-262F-4932-80D5-D47443835FA2}" showPageBreaks="1" showGridLines="0" printArea="1" topLeftCell="A10">
      <selection activeCell="D8" sqref="D8"/>
      <pageMargins left="0" right="0" top="0.39370078740157483" bottom="0" header="0.19685039370078741" footer="0"/>
      <printOptions horizontalCentered="1"/>
      <pageSetup paperSize="9" scale="95" orientation="landscape" r:id="rId2"/>
      <headerFooter alignWithMargins="0"/>
    </customSheetView>
    <customSheetView guid="{00AC2CC8-9B9F-4979-A039-643E7B67D066}" scale="70" showGridLines="0" fitToPage="1">
      <selection activeCell="D8" sqref="D8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95" orientation="landscape" r:id="rId3"/>
      <headerFooter alignWithMargins="0"/>
    </customSheetView>
  </customSheetViews>
  <mergeCells count="8">
    <mergeCell ref="R3:R4"/>
    <mergeCell ref="Q1:R2"/>
    <mergeCell ref="I2:K2"/>
    <mergeCell ref="I22:J22"/>
    <mergeCell ref="F4:G4"/>
    <mergeCell ref="F5:G5"/>
    <mergeCell ref="F2:G2"/>
    <mergeCell ref="Q3:Q4"/>
  </mergeCells>
  <phoneticPr fontId="3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95" orientation="landscape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8004" r:id="rId7" name="Spinner 4">
              <controlPr defaultSize="0" autoPict="0">
                <anchor moveWithCells="1" sizeWithCells="1">
                  <from>
                    <xdr:col>10</xdr:col>
                    <xdr:colOff>22860</xdr:colOff>
                    <xdr:row>4</xdr:row>
                    <xdr:rowOff>7620</xdr:rowOff>
                  </from>
                  <to>
                    <xdr:col>11</xdr:col>
                    <xdr:colOff>304800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05" r:id="rId8" name="Spinner 5">
              <controlPr defaultSize="0" autoPict="0">
                <anchor moveWithCells="1" sizeWithCells="1">
                  <from>
                    <xdr:col>10</xdr:col>
                    <xdr:colOff>22860</xdr:colOff>
                    <xdr:row>2</xdr:row>
                    <xdr:rowOff>495300</xdr:rowOff>
                  </from>
                  <to>
                    <xdr:col>11</xdr:col>
                    <xdr:colOff>304800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06" r:id="rId9" name="Spinner 6">
              <controlPr defaultSize="0" autoPict="0">
                <anchor moveWithCells="1" sizeWithCells="1">
                  <from>
                    <xdr:col>17</xdr:col>
                    <xdr:colOff>22860</xdr:colOff>
                    <xdr:row>2</xdr:row>
                    <xdr:rowOff>7620</xdr:rowOff>
                  </from>
                  <to>
                    <xdr:col>17</xdr:col>
                    <xdr:colOff>838200</xdr:colOff>
                    <xdr:row>3</xdr:row>
                    <xdr:rowOff>358140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0070C0"/>
  </sheetPr>
  <dimension ref="A1:S36"/>
  <sheetViews>
    <sheetView showGridLines="0" zoomScale="70" zoomScaleNormal="70" workbookViewId="0">
      <selection activeCell="M3" sqref="M3"/>
    </sheetView>
  </sheetViews>
  <sheetFormatPr defaultColWidth="9.16796875" defaultRowHeight="37.5" x14ac:dyDescent="0.15"/>
  <cols>
    <col min="1" max="1" width="4.71875" style="98" customWidth="1"/>
    <col min="2" max="13" width="14.42578125" style="98" customWidth="1"/>
    <col min="14" max="14" width="8.08984375" style="98" customWidth="1"/>
    <col min="15" max="15" width="9.16796875" style="98"/>
    <col min="16" max="16" width="23.4609375" style="98" bestFit="1" customWidth="1"/>
    <col min="17" max="17" width="43.69140625" style="98" customWidth="1"/>
    <col min="18" max="18" width="14.15625" style="98" customWidth="1"/>
    <col min="19" max="19" width="31.015625" style="98" customWidth="1"/>
    <col min="20" max="20" width="11.73046875" style="98" customWidth="1"/>
    <col min="21" max="16384" width="9.16796875" style="98"/>
  </cols>
  <sheetData>
    <row r="1" spans="1:19" ht="6" customHeight="1" thickBot="1" x14ac:dyDescent="0.2">
      <c r="A1" s="438"/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</row>
    <row r="2" spans="1:19" ht="42" customHeight="1" thickBot="1" x14ac:dyDescent="0.2">
      <c r="A2" s="438"/>
      <c r="B2" s="442"/>
      <c r="C2" s="1172" t="s">
        <v>95</v>
      </c>
      <c r="D2" s="1172"/>
      <c r="E2" s="1172"/>
      <c r="F2" s="1172"/>
      <c r="G2" s="1172"/>
      <c r="H2" s="1172"/>
      <c r="I2" s="1172"/>
      <c r="J2" s="1172"/>
      <c r="K2" s="1172"/>
      <c r="L2" s="1172"/>
      <c r="M2" s="443" t="s">
        <v>11</v>
      </c>
      <c r="N2" s="438"/>
      <c r="P2" s="602" t="s">
        <v>180</v>
      </c>
      <c r="Q2" s="252" t="str">
        <f>COM!$B$1</f>
        <v>สุพรีม ไลฟ์  โพรเทคเตอร์ A90/20</v>
      </c>
      <c r="R2" s="587"/>
      <c r="S2" s="791" t="str">
        <f>COM!E1</f>
        <v>20SLPA</v>
      </c>
    </row>
    <row r="3" spans="1:19" ht="36" customHeight="1" x14ac:dyDescent="0.15">
      <c r="A3" s="438"/>
      <c r="B3" s="455" t="s">
        <v>23</v>
      </c>
      <c r="C3" s="1196">
        <f>IF($P$5="Auto",Life!M4,Q6)</f>
        <v>48000000</v>
      </c>
      <c r="D3" s="1197"/>
      <c r="E3" s="1197"/>
      <c r="F3" s="449" t="s">
        <v>103</v>
      </c>
      <c r="G3" s="1198" t="s">
        <v>272</v>
      </c>
      <c r="H3" s="1199"/>
      <c r="I3" s="1199"/>
      <c r="J3" s="1200"/>
      <c r="K3" s="1182">
        <f>IF($P$5="Auto",M3/100,Q7)</f>
        <v>0.75</v>
      </c>
      <c r="L3" s="1183"/>
      <c r="M3" s="450">
        <v>75</v>
      </c>
      <c r="N3" s="438"/>
      <c r="P3" s="602" t="s">
        <v>361</v>
      </c>
      <c r="Q3" s="634">
        <f>COM!F1</f>
        <v>0.75</v>
      </c>
    </row>
    <row r="4" spans="1:19" ht="30" customHeight="1" x14ac:dyDescent="0.15">
      <c r="A4" s="438"/>
      <c r="B4" s="629" t="s">
        <v>54</v>
      </c>
      <c r="C4" s="1203">
        <f>SUM(D21:M21)</f>
        <v>359520000</v>
      </c>
      <c r="D4" s="1204"/>
      <c r="E4" s="1205"/>
      <c r="F4" s="454" t="s">
        <v>153</v>
      </c>
      <c r="G4" s="1173">
        <f>SUM(D24:M24)</f>
        <v>80460000</v>
      </c>
      <c r="H4" s="1174"/>
      <c r="I4" s="1175"/>
      <c r="J4" s="1193" t="s">
        <v>55</v>
      </c>
      <c r="K4" s="1184">
        <f>SUM(C4,C5:E6,G4:I6)</f>
        <v>548020000</v>
      </c>
      <c r="L4" s="1185"/>
      <c r="M4" s="1186"/>
      <c r="N4" s="438"/>
      <c r="P4" s="1153" t="s">
        <v>318</v>
      </c>
      <c r="Q4" s="1168"/>
    </row>
    <row r="5" spans="1:19" ht="30" customHeight="1" x14ac:dyDescent="0.15">
      <c r="A5" s="438"/>
      <c r="B5" s="451" t="s">
        <v>152</v>
      </c>
      <c r="C5" s="1206">
        <f>SUM(D22:M22)</f>
        <v>50400000</v>
      </c>
      <c r="D5" s="1207"/>
      <c r="E5" s="1208"/>
      <c r="F5" s="453" t="s">
        <v>243</v>
      </c>
      <c r="G5" s="1176">
        <f>SUM(D25:M25)</f>
        <v>40000</v>
      </c>
      <c r="H5" s="1177"/>
      <c r="I5" s="1178"/>
      <c r="J5" s="1194"/>
      <c r="K5" s="1187"/>
      <c r="L5" s="1188"/>
      <c r="M5" s="1189"/>
      <c r="N5" s="438"/>
      <c r="P5" s="1169" t="s">
        <v>182</v>
      </c>
      <c r="Q5" s="1170"/>
    </row>
    <row r="6" spans="1:19" ht="30" customHeight="1" thickBot="1" x14ac:dyDescent="0.2">
      <c r="A6" s="438"/>
      <c r="B6" s="452" t="s">
        <v>242</v>
      </c>
      <c r="C6" s="1209">
        <f>SUM(D23:M23)</f>
        <v>50400000</v>
      </c>
      <c r="D6" s="1210"/>
      <c r="E6" s="1211"/>
      <c r="F6" s="630" t="s">
        <v>244</v>
      </c>
      <c r="G6" s="1179">
        <f t="shared" ref="G6" si="0">SUM(D26:M26)</f>
        <v>7200000</v>
      </c>
      <c r="H6" s="1180"/>
      <c r="I6" s="1181"/>
      <c r="J6" s="1195"/>
      <c r="K6" s="1190"/>
      <c r="L6" s="1191"/>
      <c r="M6" s="1192"/>
      <c r="N6" s="438"/>
      <c r="P6" s="592" t="s">
        <v>23</v>
      </c>
      <c r="Q6" s="595">
        <v>10000000</v>
      </c>
      <c r="R6" s="632" t="s">
        <v>32</v>
      </c>
    </row>
    <row r="7" spans="1:19" ht="12" customHeight="1" thickBot="1" x14ac:dyDescent="0.2">
      <c r="A7" s="438"/>
      <c r="B7" s="456"/>
      <c r="C7" s="457"/>
      <c r="D7" s="457"/>
      <c r="E7" s="458"/>
      <c r="F7" s="457"/>
      <c r="G7" s="459"/>
      <c r="H7" s="459"/>
      <c r="I7" s="457"/>
      <c r="J7" s="459"/>
      <c r="K7" s="459"/>
      <c r="L7" s="460"/>
      <c r="M7" s="461"/>
      <c r="N7" s="438"/>
      <c r="P7" s="887" t="s">
        <v>274</v>
      </c>
      <c r="Q7" s="889">
        <v>0.75</v>
      </c>
    </row>
    <row r="8" spans="1:19" ht="24" customHeight="1" x14ac:dyDescent="0.15">
      <c r="A8" s="438"/>
      <c r="B8" s="1214" t="s">
        <v>39</v>
      </c>
      <c r="C8" s="1215"/>
      <c r="D8" s="253">
        <f>Life!M6</f>
        <v>30</v>
      </c>
      <c r="E8" s="253">
        <f t="shared" ref="E8:M9" si="1">D8+1</f>
        <v>31</v>
      </c>
      <c r="F8" s="253">
        <f t="shared" si="1"/>
        <v>32</v>
      </c>
      <c r="G8" s="253">
        <f t="shared" si="1"/>
        <v>33</v>
      </c>
      <c r="H8" s="253">
        <f t="shared" si="1"/>
        <v>34</v>
      </c>
      <c r="I8" s="253">
        <f t="shared" si="1"/>
        <v>35</v>
      </c>
      <c r="J8" s="253">
        <f t="shared" si="1"/>
        <v>36</v>
      </c>
      <c r="K8" s="253">
        <f t="shared" si="1"/>
        <v>37</v>
      </c>
      <c r="L8" s="253">
        <f t="shared" si="1"/>
        <v>38</v>
      </c>
      <c r="M8" s="255">
        <f t="shared" si="1"/>
        <v>39</v>
      </c>
      <c r="N8" s="438"/>
      <c r="P8" s="887"/>
      <c r="Q8" s="889"/>
    </row>
    <row r="9" spans="1:19" ht="24" customHeight="1" x14ac:dyDescent="0.15">
      <c r="A9" s="438"/>
      <c r="B9" s="1216" t="s">
        <v>28</v>
      </c>
      <c r="C9" s="1217"/>
      <c r="D9" s="445">
        <f>Life!M8</f>
        <v>2569</v>
      </c>
      <c r="E9" s="445">
        <f t="shared" si="1"/>
        <v>2570</v>
      </c>
      <c r="F9" s="445">
        <f t="shared" si="1"/>
        <v>2571</v>
      </c>
      <c r="G9" s="445">
        <f t="shared" si="1"/>
        <v>2572</v>
      </c>
      <c r="H9" s="445">
        <f t="shared" si="1"/>
        <v>2573</v>
      </c>
      <c r="I9" s="445">
        <f t="shared" si="1"/>
        <v>2574</v>
      </c>
      <c r="J9" s="445">
        <f t="shared" si="1"/>
        <v>2575</v>
      </c>
      <c r="K9" s="445">
        <f t="shared" si="1"/>
        <v>2576</v>
      </c>
      <c r="L9" s="445">
        <f t="shared" si="1"/>
        <v>2577</v>
      </c>
      <c r="M9" s="446">
        <f t="shared" si="1"/>
        <v>2578</v>
      </c>
      <c r="N9" s="438"/>
      <c r="P9" s="364" t="s">
        <v>151</v>
      </c>
      <c r="Q9" s="598">
        <v>0.3</v>
      </c>
    </row>
    <row r="10" spans="1:19" ht="30.6" customHeight="1" x14ac:dyDescent="0.15">
      <c r="A10" s="438"/>
      <c r="B10" s="1218" t="s">
        <v>23</v>
      </c>
      <c r="C10" s="1219"/>
      <c r="D10" s="465">
        <f t="shared" ref="D10:M10" si="2">$C$3</f>
        <v>48000000</v>
      </c>
      <c r="E10" s="465">
        <f t="shared" si="2"/>
        <v>48000000</v>
      </c>
      <c r="F10" s="465">
        <f t="shared" si="2"/>
        <v>48000000</v>
      </c>
      <c r="G10" s="465">
        <f t="shared" si="2"/>
        <v>48000000</v>
      </c>
      <c r="H10" s="465">
        <f t="shared" si="2"/>
        <v>48000000</v>
      </c>
      <c r="I10" s="465">
        <f t="shared" si="2"/>
        <v>48000000</v>
      </c>
      <c r="J10" s="465">
        <f t="shared" si="2"/>
        <v>48000000</v>
      </c>
      <c r="K10" s="465">
        <f t="shared" si="2"/>
        <v>48000000</v>
      </c>
      <c r="L10" s="465">
        <f t="shared" si="2"/>
        <v>48000000</v>
      </c>
      <c r="M10" s="466">
        <f t="shared" si="2"/>
        <v>48000000</v>
      </c>
      <c r="N10" s="438"/>
      <c r="P10" s="364" t="s">
        <v>57</v>
      </c>
      <c r="Q10" s="598">
        <v>0.15</v>
      </c>
    </row>
    <row r="11" spans="1:19" ht="27.6" customHeight="1" x14ac:dyDescent="0.15">
      <c r="A11" s="438"/>
      <c r="B11" s="439" t="s">
        <v>151</v>
      </c>
      <c r="C11" s="444">
        <f>IF($P$5="Auto",COM!B2,Q9)</f>
        <v>0.4</v>
      </c>
      <c r="D11" s="137">
        <f t="shared" ref="D11:M11" si="3">D10*$C$11</f>
        <v>19200000</v>
      </c>
      <c r="E11" s="137">
        <f t="shared" si="3"/>
        <v>19200000</v>
      </c>
      <c r="F11" s="137">
        <f t="shared" si="3"/>
        <v>19200000</v>
      </c>
      <c r="G11" s="137">
        <f t="shared" si="3"/>
        <v>19200000</v>
      </c>
      <c r="H11" s="137">
        <f t="shared" si="3"/>
        <v>19200000</v>
      </c>
      <c r="I11" s="137">
        <f t="shared" si="3"/>
        <v>19200000</v>
      </c>
      <c r="J11" s="137">
        <f t="shared" si="3"/>
        <v>19200000</v>
      </c>
      <c r="K11" s="137">
        <f t="shared" si="3"/>
        <v>19200000</v>
      </c>
      <c r="L11" s="137">
        <f t="shared" si="3"/>
        <v>19200000</v>
      </c>
      <c r="M11" s="256">
        <f t="shared" si="3"/>
        <v>19200000</v>
      </c>
      <c r="N11" s="438"/>
      <c r="P11" s="364" t="s">
        <v>58</v>
      </c>
      <c r="Q11" s="598">
        <v>0.1</v>
      </c>
    </row>
    <row r="12" spans="1:19" ht="27.6" customHeight="1" x14ac:dyDescent="0.15">
      <c r="A12" s="438"/>
      <c r="B12" s="439" t="s">
        <v>57</v>
      </c>
      <c r="C12" s="444">
        <f>IF($P$5="Auto",COM!B3,Q10)</f>
        <v>0.16</v>
      </c>
      <c r="D12" s="132"/>
      <c r="E12" s="132">
        <f t="shared" ref="E12:M12" si="4">D10*$C$12</f>
        <v>7680000</v>
      </c>
      <c r="F12" s="132">
        <f t="shared" si="4"/>
        <v>7680000</v>
      </c>
      <c r="G12" s="132">
        <f t="shared" si="4"/>
        <v>7680000</v>
      </c>
      <c r="H12" s="132">
        <f t="shared" si="4"/>
        <v>7680000</v>
      </c>
      <c r="I12" s="132">
        <f t="shared" si="4"/>
        <v>7680000</v>
      </c>
      <c r="J12" s="132">
        <f t="shared" si="4"/>
        <v>7680000</v>
      </c>
      <c r="K12" s="132">
        <f t="shared" si="4"/>
        <v>7680000</v>
      </c>
      <c r="L12" s="132">
        <f t="shared" si="4"/>
        <v>7680000</v>
      </c>
      <c r="M12" s="257">
        <f t="shared" si="4"/>
        <v>7680000</v>
      </c>
      <c r="N12" s="438"/>
      <c r="P12" s="364" t="s">
        <v>59</v>
      </c>
      <c r="Q12" s="598">
        <v>0.05</v>
      </c>
    </row>
    <row r="13" spans="1:19" ht="27.6" customHeight="1" x14ac:dyDescent="0.15">
      <c r="A13" s="438"/>
      <c r="B13" s="439" t="s">
        <v>58</v>
      </c>
      <c r="C13" s="444">
        <f>IF($P$5="Auto",COM!B4,Q11)</f>
        <v>0.1</v>
      </c>
      <c r="D13" s="131"/>
      <c r="E13" s="133"/>
      <c r="F13" s="131">
        <f t="shared" ref="F13:M13" si="5">D10*$C$13</f>
        <v>4800000</v>
      </c>
      <c r="G13" s="131">
        <f t="shared" si="5"/>
        <v>4800000</v>
      </c>
      <c r="H13" s="131">
        <f t="shared" si="5"/>
        <v>4800000</v>
      </c>
      <c r="I13" s="131">
        <f t="shared" si="5"/>
        <v>4800000</v>
      </c>
      <c r="J13" s="131">
        <f t="shared" si="5"/>
        <v>4800000</v>
      </c>
      <c r="K13" s="131">
        <f t="shared" si="5"/>
        <v>4800000</v>
      </c>
      <c r="L13" s="131">
        <f t="shared" si="5"/>
        <v>4800000</v>
      </c>
      <c r="M13" s="258">
        <f t="shared" si="5"/>
        <v>4800000</v>
      </c>
      <c r="N13" s="438"/>
      <c r="P13" s="364" t="s">
        <v>60</v>
      </c>
      <c r="Q13" s="598">
        <v>0.05</v>
      </c>
    </row>
    <row r="14" spans="1:19" ht="27.6" customHeight="1" x14ac:dyDescent="0.15">
      <c r="A14" s="438"/>
      <c r="B14" s="439" t="s">
        <v>59</v>
      </c>
      <c r="C14" s="444">
        <f>IF($P$5="Auto",COM!B5,Q12)</f>
        <v>0.05</v>
      </c>
      <c r="D14" s="132"/>
      <c r="E14" s="134"/>
      <c r="F14" s="134"/>
      <c r="G14" s="132">
        <f t="shared" ref="G14:M14" si="6">D10*$C$14</f>
        <v>2400000</v>
      </c>
      <c r="H14" s="132">
        <f t="shared" si="6"/>
        <v>2400000</v>
      </c>
      <c r="I14" s="132">
        <f t="shared" si="6"/>
        <v>2400000</v>
      </c>
      <c r="J14" s="132">
        <f t="shared" si="6"/>
        <v>2400000</v>
      </c>
      <c r="K14" s="132">
        <f t="shared" si="6"/>
        <v>2400000</v>
      </c>
      <c r="L14" s="132">
        <f t="shared" si="6"/>
        <v>2400000</v>
      </c>
      <c r="M14" s="257">
        <f t="shared" si="6"/>
        <v>2400000</v>
      </c>
      <c r="N14" s="438"/>
      <c r="P14" s="364" t="s">
        <v>99</v>
      </c>
      <c r="Q14" s="598">
        <v>0.05</v>
      </c>
    </row>
    <row r="15" spans="1:19" ht="27.6" customHeight="1" x14ac:dyDescent="0.15">
      <c r="A15" s="438"/>
      <c r="B15" s="439" t="s">
        <v>60</v>
      </c>
      <c r="C15" s="444">
        <f>IF($P$5="Auto",COM!B6,Q13)</f>
        <v>0.05</v>
      </c>
      <c r="D15" s="131"/>
      <c r="E15" s="133"/>
      <c r="F15" s="133"/>
      <c r="G15" s="133"/>
      <c r="H15" s="131">
        <f t="shared" ref="H15:M15" si="7">D10*$C$15</f>
        <v>2400000</v>
      </c>
      <c r="I15" s="131">
        <f t="shared" si="7"/>
        <v>2400000</v>
      </c>
      <c r="J15" s="131">
        <f t="shared" si="7"/>
        <v>2400000</v>
      </c>
      <c r="K15" s="131">
        <f t="shared" si="7"/>
        <v>2400000</v>
      </c>
      <c r="L15" s="131">
        <f t="shared" si="7"/>
        <v>2400000</v>
      </c>
      <c r="M15" s="258">
        <f t="shared" si="7"/>
        <v>2400000</v>
      </c>
      <c r="N15" s="438"/>
      <c r="P15" s="364" t="s">
        <v>156</v>
      </c>
      <c r="Q15" s="598">
        <v>0.05</v>
      </c>
    </row>
    <row r="16" spans="1:19" ht="27.6" customHeight="1" x14ac:dyDescent="0.15">
      <c r="A16" s="438"/>
      <c r="B16" s="439" t="s">
        <v>99</v>
      </c>
      <c r="C16" s="444">
        <f>IF($P$5="Auto",COM!B7,Q14)</f>
        <v>0.05</v>
      </c>
      <c r="D16" s="132"/>
      <c r="E16" s="134"/>
      <c r="F16" s="134"/>
      <c r="G16" s="134"/>
      <c r="H16" s="134"/>
      <c r="I16" s="132">
        <f>D10*$C$16</f>
        <v>2400000</v>
      </c>
      <c r="J16" s="132">
        <f>E10*$C$16</f>
        <v>2400000</v>
      </c>
      <c r="K16" s="132">
        <f>F10*$C$16</f>
        <v>2400000</v>
      </c>
      <c r="L16" s="132">
        <f>G10*$C$16</f>
        <v>2400000</v>
      </c>
      <c r="M16" s="257">
        <f>H10*$C$16</f>
        <v>2400000</v>
      </c>
      <c r="N16" s="438"/>
      <c r="P16" s="364" t="s">
        <v>319</v>
      </c>
      <c r="Q16" s="598">
        <v>0.05</v>
      </c>
    </row>
    <row r="17" spans="1:19" ht="27.6" customHeight="1" x14ac:dyDescent="0.15">
      <c r="A17" s="438"/>
      <c r="B17" s="439" t="s">
        <v>156</v>
      </c>
      <c r="C17" s="444">
        <f>IF($P$5="Auto",COM!B8,Q15)</f>
        <v>0.05</v>
      </c>
      <c r="D17" s="131"/>
      <c r="E17" s="133"/>
      <c r="F17" s="133"/>
      <c r="G17" s="133"/>
      <c r="H17" s="133"/>
      <c r="I17" s="133"/>
      <c r="J17" s="131">
        <f>D10*$C$17</f>
        <v>2400000</v>
      </c>
      <c r="K17" s="131">
        <f>E10*$C$17</f>
        <v>2400000</v>
      </c>
      <c r="L17" s="131">
        <f>F10*$C$17</f>
        <v>2400000</v>
      </c>
      <c r="M17" s="258">
        <f>G10*$C$17</f>
        <v>2400000</v>
      </c>
      <c r="N17" s="438"/>
      <c r="P17" s="364" t="s">
        <v>152</v>
      </c>
      <c r="Q17" s="597" t="s">
        <v>312</v>
      </c>
    </row>
    <row r="18" spans="1:19" ht="27.6" customHeight="1" thickBot="1" x14ac:dyDescent="0.2">
      <c r="A18" s="438"/>
      <c r="B18" s="439" t="s">
        <v>319</v>
      </c>
      <c r="C18" s="444">
        <f>IF($P$5="Auto",COM!B9,Q16)</f>
        <v>0.05</v>
      </c>
      <c r="D18" s="135"/>
      <c r="E18" s="136"/>
      <c r="F18" s="136"/>
      <c r="G18" s="136"/>
      <c r="H18" s="136"/>
      <c r="I18" s="136"/>
      <c r="J18" s="136"/>
      <c r="K18" s="135">
        <f>D10*$C$18</f>
        <v>2400000</v>
      </c>
      <c r="L18" s="135">
        <f>E10*$C$18</f>
        <v>2400000</v>
      </c>
      <c r="M18" s="259">
        <f>F10*$C$18</f>
        <v>2400000</v>
      </c>
      <c r="N18" s="438"/>
      <c r="P18" s="364" t="s">
        <v>242</v>
      </c>
      <c r="Q18" s="597" t="s">
        <v>312</v>
      </c>
    </row>
    <row r="19" spans="1:19" ht="12" customHeight="1" thickBot="1" x14ac:dyDescent="0.2">
      <c r="A19" s="438"/>
      <c r="B19" s="254"/>
      <c r="C19" s="130"/>
      <c r="D19" s="138"/>
      <c r="E19" s="139"/>
      <c r="F19" s="139"/>
      <c r="G19" s="139"/>
      <c r="H19" s="139"/>
      <c r="I19" s="139"/>
      <c r="J19" s="139"/>
      <c r="K19" s="139"/>
      <c r="L19" s="139"/>
      <c r="M19" s="260"/>
      <c r="N19" s="438"/>
      <c r="P19" s="887" t="s">
        <v>153</v>
      </c>
      <c r="Q19" s="1171" t="s">
        <v>312</v>
      </c>
    </row>
    <row r="20" spans="1:19" ht="30" customHeight="1" thickBot="1" x14ac:dyDescent="0.2">
      <c r="A20" s="438"/>
      <c r="B20" s="1225" t="str">
        <f>"นับผลงาน "&amp;Q3*100&amp;"%"</f>
        <v>นับผลงาน 75%</v>
      </c>
      <c r="C20" s="1226"/>
      <c r="D20" s="1226"/>
      <c r="E20" s="1226"/>
      <c r="F20" s="1226"/>
      <c r="G20" s="1226"/>
      <c r="H20" s="1226"/>
      <c r="I20" s="1226"/>
      <c r="J20" s="1226"/>
      <c r="K20" s="1226"/>
      <c r="L20" s="1226"/>
      <c r="M20" s="1227"/>
      <c r="N20" s="438"/>
      <c r="P20" s="887"/>
      <c r="Q20" s="1171"/>
    </row>
    <row r="21" spans="1:19" ht="27.6" customHeight="1" x14ac:dyDescent="0.15">
      <c r="A21" s="438"/>
      <c r="B21" s="1212" t="s">
        <v>102</v>
      </c>
      <c r="C21" s="1213"/>
      <c r="D21" s="463">
        <f t="shared" ref="D21:M21" si="8">SUM(D11:D18)</f>
        <v>19200000</v>
      </c>
      <c r="E21" s="463">
        <f t="shared" si="8"/>
        <v>26880000</v>
      </c>
      <c r="F21" s="463">
        <f t="shared" si="8"/>
        <v>31680000</v>
      </c>
      <c r="G21" s="463">
        <f t="shared" si="8"/>
        <v>34080000</v>
      </c>
      <c r="H21" s="463">
        <f t="shared" si="8"/>
        <v>36480000</v>
      </c>
      <c r="I21" s="463">
        <f t="shared" si="8"/>
        <v>38880000</v>
      </c>
      <c r="J21" s="463">
        <f t="shared" si="8"/>
        <v>41280000</v>
      </c>
      <c r="K21" s="463">
        <f t="shared" si="8"/>
        <v>43680000</v>
      </c>
      <c r="L21" s="463">
        <f t="shared" si="8"/>
        <v>43680000</v>
      </c>
      <c r="M21" s="464">
        <f t="shared" si="8"/>
        <v>43680000</v>
      </c>
      <c r="N21" s="438"/>
      <c r="P21" s="364" t="s">
        <v>243</v>
      </c>
      <c r="Q21" s="597" t="s">
        <v>182</v>
      </c>
      <c r="R21" s="631">
        <v>5</v>
      </c>
      <c r="S21" s="594" t="s">
        <v>32</v>
      </c>
    </row>
    <row r="22" spans="1:19" ht="27.6" customHeight="1" x14ac:dyDescent="0.15">
      <c r="A22" s="438"/>
      <c r="B22" s="440" t="s">
        <v>152</v>
      </c>
      <c r="C22" s="819" t="str">
        <f>IF($Q$17="ON",(IF($K$3&lt;70%,0,
IF($D$21*$Q$3/12&gt;64000,"35%",
IF(AND($D$21*$Q$3/12&gt;32000,$D$21*$Q$3/12&lt;=64000),"30%",
IF(AND($D$21*$Q$3/12&gt;16000,$D$21*$Q$3/12&lt;=32000),"25%",
IF(AND($D$21*$Q$3/12&gt;8000,$D$21*$Q$3/12&lt;=16000),"20%",
0)))))),0%)</f>
        <v>35%</v>
      </c>
      <c r="D22" s="140">
        <f t="shared" ref="D22:M22" si="9">D$11*$Q$3*$C$22</f>
        <v>5040000</v>
      </c>
      <c r="E22" s="140">
        <f t="shared" si="9"/>
        <v>5040000</v>
      </c>
      <c r="F22" s="140">
        <f t="shared" si="9"/>
        <v>5040000</v>
      </c>
      <c r="G22" s="140">
        <f t="shared" si="9"/>
        <v>5040000</v>
      </c>
      <c r="H22" s="140">
        <f t="shared" si="9"/>
        <v>5040000</v>
      </c>
      <c r="I22" s="140">
        <f t="shared" si="9"/>
        <v>5040000</v>
      </c>
      <c r="J22" s="140">
        <f t="shared" si="9"/>
        <v>5040000</v>
      </c>
      <c r="K22" s="140">
        <f t="shared" si="9"/>
        <v>5040000</v>
      </c>
      <c r="L22" s="140">
        <f t="shared" si="9"/>
        <v>5040000</v>
      </c>
      <c r="M22" s="462">
        <f t="shared" si="9"/>
        <v>5040000</v>
      </c>
      <c r="N22" s="438"/>
      <c r="P22" s="364" t="s">
        <v>244</v>
      </c>
      <c r="Q22" s="597" t="s">
        <v>312</v>
      </c>
    </row>
    <row r="23" spans="1:19" ht="27.6" customHeight="1" x14ac:dyDescent="0.15">
      <c r="A23" s="438"/>
      <c r="B23" s="441" t="s">
        <v>242</v>
      </c>
      <c r="C23" s="444">
        <f>IF($Q$18="ON",(IF($D$21*$Q$3/2&gt;400000,"35%",
IF(AND($D$21*$Q$3/2&gt;300000,$D$21*$Q$3/2&lt;=400000),"32.5%",
IF(AND($D$21*$Q$3/2&gt;250000,$D$21*$Q$3/2&lt;=300000),"30%",
IF(AND($D$21*$Q$3/2&gt;200000,$D$21*$Q$3/2&lt;=250000),"27.5%",
IF(AND($D$21*$Q$3/2&gt;150000,$D$21*$Q$3/2&lt;=200000),"25%",
IF(AND($D$21*$Q$3/2&gt;100000,$D$21*$Q$3/2&lt;=150000),"22.5%",
IF(AND($D$21*$Q$3/2&gt;60000,$D$21*$Q$3/2&lt;=100000),"20%",
IF(AND($D$21*$Q$3/2&gt;40000,$D$21*$Q$3/2&lt;=60000),"17.5%",
1))))))))*(IF($K$3&lt;70%,0%,IF(AND($K$3&gt;=70%,$K$3&lt;85%),100%,IF($K$3&gt;=85%,110%,))))),0%)</f>
        <v>0.35</v>
      </c>
      <c r="D23" s="141">
        <f>IF($Q$18="ON",(IF($D$21*$Q$3/2&gt;400000,"35%",
IF(AND($D$21*$Q$3/2&gt;300000,$D$21*$Q$3/2&lt;=400000),"32.5%",
IF(AND($D$21*$Q$3/2&gt;250000,$D$21*$Q$3/2&lt;=300000),"30%",
IF(AND($D$21*$Q$3/2&gt;200000,$D$21*$Q$3/2&lt;=250000),"27.5%",
IF(AND($D$21*$Q$3/2&gt;150000,$D$21*$Q$3/2&lt;=200000),"25%",
IF(AND($D$21*$Q$3/2&gt;100000,$D$21*$Q$3/2&lt;=150000),"22.5%",
IF(AND($D$21*$Q$3/2&gt;60000,$D$21*$Q$3/2&lt;=100000),"20%",
IF(AND($D$21*$Q$3/2&gt;40000,$D$21*$Q$3/2&lt;=60000),"17.5%",
1))))))))*D$11*$Q$3),0)</f>
        <v>5040000</v>
      </c>
      <c r="E23" s="141">
        <f t="shared" ref="E23:M23" si="10">E$11*$Q$3*$C$23</f>
        <v>5040000</v>
      </c>
      <c r="F23" s="141">
        <f t="shared" si="10"/>
        <v>5040000</v>
      </c>
      <c r="G23" s="141">
        <f t="shared" si="10"/>
        <v>5040000</v>
      </c>
      <c r="H23" s="141">
        <f t="shared" si="10"/>
        <v>5040000</v>
      </c>
      <c r="I23" s="141">
        <f t="shared" si="10"/>
        <v>5040000</v>
      </c>
      <c r="J23" s="141">
        <f t="shared" si="10"/>
        <v>5040000</v>
      </c>
      <c r="K23" s="141">
        <f t="shared" si="10"/>
        <v>5040000</v>
      </c>
      <c r="L23" s="141">
        <f t="shared" si="10"/>
        <v>5040000</v>
      </c>
      <c r="M23" s="261">
        <f t="shared" si="10"/>
        <v>5040000</v>
      </c>
      <c r="N23" s="438"/>
    </row>
    <row r="24" spans="1:19" ht="27.6" customHeight="1" x14ac:dyDescent="0.15">
      <c r="A24" s="438"/>
      <c r="B24" s="441" t="s">
        <v>153</v>
      </c>
      <c r="C24" s="467"/>
      <c r="D24" s="1223"/>
      <c r="E24" s="1224"/>
      <c r="F24" s="142">
        <f>IF($Q$19="ON",(IF(AND(E$11*$Q$3&gt;=200000,$K$3&gt;=85%),SUM(E12:E18)*$K$3*$Q$3*110%,IF(AND(E$11*$Q$3&gt;=100000,$K$3&gt;=75%),SUM(E12:E18)*$K$3*$Q$3*100%,0))),0)</f>
        <v>4320000</v>
      </c>
      <c r="G24" s="142">
        <f>IF($Q$19="ON",(IF(AND(F$11*$Q$3&gt;=200000,$K$3&gt;=85%),SUM(F12:F18)*$K$3*$Q$3*110%,IF(AND(F$11*$Q$3&gt;=100000,$K$3&gt;=75%),SUM(F12:F18)*$K$3*$Q$3*100%,0))),0)</f>
        <v>7020000</v>
      </c>
      <c r="H24" s="142">
        <f t="shared" ref="H24:M24" si="11">IF($Q$19="ON",(IF(AND(G$11*$Q$3&gt;=200000,$K$3&gt;=85%),SUM(G12:G18)*$K$3*$Q$3*110%,IF(AND(G$11*$Q$3&gt;=100000,$K$3&gt;=75%),SUM(G12:G18)*$K$3*$Q$3*100%,0))),0)</f>
        <v>8370000</v>
      </c>
      <c r="I24" s="142">
        <f t="shared" si="11"/>
        <v>9720000</v>
      </c>
      <c r="J24" s="142">
        <f t="shared" si="11"/>
        <v>11070000</v>
      </c>
      <c r="K24" s="142">
        <f t="shared" si="11"/>
        <v>12420000</v>
      </c>
      <c r="L24" s="142">
        <f t="shared" si="11"/>
        <v>13770000</v>
      </c>
      <c r="M24" s="628">
        <f t="shared" si="11"/>
        <v>13770000</v>
      </c>
      <c r="N24" s="438"/>
    </row>
    <row r="25" spans="1:19" ht="27.6" customHeight="1" x14ac:dyDescent="0.15">
      <c r="A25" s="438"/>
      <c r="B25" s="441" t="s">
        <v>243</v>
      </c>
      <c r="C25" s="471" t="str">
        <f>IF($Q$21="Auto",Life!$E$10*3&amp;" ราย/3ด.",R21*3&amp;" ราย/3ด.")</f>
        <v>120 ราย/3ด.</v>
      </c>
      <c r="D25" s="141">
        <f>IF($Q$21="Auto",(IF(AND(Life!$E$10*3&gt;=5,D11*$Q$3/4&gt;=50000),15000,IF(AND(Life!$E$10*3&gt;=3,D11*$Q$3/4&gt;=20000),6000,0))+IF(AND(Life!$E$10*3&gt;=10,D11*$Q$3/4&gt;=100000),25000,IF(AND(Life!$E$10*3&gt;=5,D11*$Q$3/4&gt;=40000),10000,0))),
(IF(AND($R$21*3&gt;=5,D11*$Q$3/4&gt;=50000),15000,IF(AND($R$21*3&gt;=3,D11*$Q$3/4&gt;=20000),6000,0))+IF(AND($R$21*3&gt;=10,D11*$Q$3/4&gt;=100000),25000,IF(AND($R$21*3&gt;=5,D11*$Q$3/4&gt;=40000),10000,0))))</f>
        <v>40000</v>
      </c>
      <c r="E25" s="1220"/>
      <c r="F25" s="1221"/>
      <c r="G25" s="1221"/>
      <c r="H25" s="1221"/>
      <c r="I25" s="1221"/>
      <c r="J25" s="1221"/>
      <c r="K25" s="1221"/>
      <c r="L25" s="1221"/>
      <c r="M25" s="1222"/>
      <c r="N25" s="438"/>
    </row>
    <row r="26" spans="1:19" ht="30" customHeight="1" x14ac:dyDescent="0.15">
      <c r="A26" s="438"/>
      <c r="B26" s="441" t="s">
        <v>244</v>
      </c>
      <c r="C26" s="444">
        <f>IF($Q$22="ON",5%,0%)</f>
        <v>0.05</v>
      </c>
      <c r="D26" s="142">
        <f t="shared" ref="D26:M26" si="12">D$11*$Q$3*$C$26</f>
        <v>720000</v>
      </c>
      <c r="E26" s="142">
        <f t="shared" si="12"/>
        <v>720000</v>
      </c>
      <c r="F26" s="142">
        <f t="shared" si="12"/>
        <v>720000</v>
      </c>
      <c r="G26" s="142">
        <f t="shared" si="12"/>
        <v>720000</v>
      </c>
      <c r="H26" s="142">
        <f t="shared" si="12"/>
        <v>720000</v>
      </c>
      <c r="I26" s="142">
        <f t="shared" si="12"/>
        <v>720000</v>
      </c>
      <c r="J26" s="142">
        <f t="shared" si="12"/>
        <v>720000</v>
      </c>
      <c r="K26" s="142">
        <f t="shared" si="12"/>
        <v>720000</v>
      </c>
      <c r="L26" s="142">
        <f t="shared" si="12"/>
        <v>720000</v>
      </c>
      <c r="M26" s="627">
        <f t="shared" si="12"/>
        <v>720000</v>
      </c>
      <c r="N26" s="438"/>
    </row>
    <row r="27" spans="1:19" ht="24" customHeight="1" thickBot="1" x14ac:dyDescent="0.2">
      <c r="A27" s="438"/>
      <c r="B27" s="1201" t="s">
        <v>100</v>
      </c>
      <c r="C27" s="1202"/>
      <c r="D27" s="447">
        <f t="shared" ref="D27:M27" si="13">SUM(D21:D26)</f>
        <v>30040000</v>
      </c>
      <c r="E27" s="447">
        <f t="shared" si="13"/>
        <v>37680000</v>
      </c>
      <c r="F27" s="447">
        <f t="shared" si="13"/>
        <v>46800000</v>
      </c>
      <c r="G27" s="447">
        <f t="shared" si="13"/>
        <v>51900000</v>
      </c>
      <c r="H27" s="447">
        <f t="shared" si="13"/>
        <v>55650000</v>
      </c>
      <c r="I27" s="447">
        <f t="shared" si="13"/>
        <v>59400000</v>
      </c>
      <c r="J27" s="447">
        <f t="shared" si="13"/>
        <v>63150000</v>
      </c>
      <c r="K27" s="447">
        <f t="shared" si="13"/>
        <v>66900000</v>
      </c>
      <c r="L27" s="447">
        <f t="shared" si="13"/>
        <v>68250000</v>
      </c>
      <c r="M27" s="448">
        <f t="shared" si="13"/>
        <v>68250000</v>
      </c>
      <c r="N27" s="438"/>
      <c r="O27" s="99"/>
    </row>
    <row r="28" spans="1:19" ht="24" customHeight="1" x14ac:dyDescent="0.15">
      <c r="A28" s="438"/>
      <c r="B28" s="438"/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</row>
    <row r="29" spans="1:19" ht="24" customHeight="1" x14ac:dyDescent="0.15">
      <c r="A29" s="438"/>
      <c r="B29" s="438"/>
      <c r="C29" s="438"/>
      <c r="D29" s="470"/>
      <c r="E29" s="438"/>
      <c r="F29" s="438"/>
      <c r="G29" s="438"/>
      <c r="H29" s="438"/>
      <c r="I29" s="438"/>
      <c r="J29" s="438"/>
      <c r="K29" s="438"/>
      <c r="L29" s="438"/>
      <c r="M29" s="438"/>
      <c r="N29" s="438"/>
    </row>
    <row r="30" spans="1:19" ht="24" customHeight="1" x14ac:dyDescent="0.15">
      <c r="A30" s="438"/>
      <c r="B30" s="438"/>
      <c r="C30" s="46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</row>
    <row r="31" spans="1:19" ht="24" customHeight="1" x14ac:dyDescent="0.15">
      <c r="A31" s="438"/>
      <c r="B31" s="438"/>
      <c r="C31" s="438"/>
      <c r="D31" s="438"/>
      <c r="E31" s="438"/>
      <c r="F31" s="438"/>
      <c r="G31" s="438"/>
      <c r="H31" s="438"/>
      <c r="I31" s="438"/>
      <c r="J31" s="438"/>
      <c r="K31" s="438"/>
      <c r="L31" s="438"/>
      <c r="M31" s="438"/>
      <c r="N31" s="438"/>
    </row>
    <row r="32" spans="1:19" ht="10.5" customHeight="1" x14ac:dyDescent="0.15">
      <c r="A32" s="438"/>
      <c r="B32" s="438"/>
      <c r="C32" s="438"/>
      <c r="D32" s="438"/>
      <c r="E32" s="438"/>
      <c r="F32" s="438"/>
      <c r="G32" s="438"/>
      <c r="H32" s="438"/>
      <c r="I32" s="438"/>
      <c r="J32" s="438"/>
      <c r="K32" s="438"/>
      <c r="L32" s="438"/>
      <c r="M32" s="438"/>
      <c r="N32" s="438"/>
    </row>
    <row r="33" ht="27" customHeight="1" x14ac:dyDescent="0.15"/>
    <row r="34" ht="23.1" customHeight="1" x14ac:dyDescent="0.15"/>
    <row r="35" ht="23.1" customHeight="1" x14ac:dyDescent="0.15"/>
    <row r="36" ht="23.1" customHeight="1" x14ac:dyDescent="0.15"/>
  </sheetData>
  <sheetProtection algorithmName="SHA-512" hashValue="blYr+Fo8M/5/tSqsfFPTN1Y2jw06ePkgzE+N36F0xNMBGj6kYOPz4SqGqXVPAXr/5Kh3GUITXmh6B7XM36J/5A==" saltValue="y/+0+/kp8rH7Lm3Lx7Wr8Q==" spinCount="100000" sheet="1" objects="1" scenarios="1" selectLockedCells="1"/>
  <protectedRanges>
    <protectedRange sqref="C11:C18" name="ช่วง1"/>
  </protectedRanges>
  <customSheetViews>
    <customSheetView guid="{82B311FB-57F0-41B4-A7C3-5882014D86A1}" scale="70" showGridLines="0">
      <selection activeCell="M3" sqref="M3"/>
      <pageMargins left="0.19685039370078741" right="0.19685039370078741" top="0.19685039370078741" bottom="0.19685039370078741" header="0" footer="0"/>
      <printOptions horizontalCentered="1" verticalCentered="1"/>
      <pageSetup paperSize="9" scale="80" orientation="landscape" r:id="rId1"/>
      <headerFooter alignWithMargins="0"/>
    </customSheetView>
    <customSheetView guid="{667EEF7A-262F-4932-80D5-D47443835FA2}" scale="90" showPageBreaks="1" showGridLines="0" printArea="1" topLeftCell="A4">
      <selection activeCell="D8" sqref="D8"/>
      <pageMargins left="0" right="0" top="0.19685039370078741" bottom="0" header="0.19685039370078741" footer="0"/>
      <printOptions horizontalCentered="1"/>
      <pageSetup paperSize="9" scale="90" orientation="landscape" r:id="rId2"/>
      <headerFooter alignWithMargins="0"/>
    </customSheetView>
    <customSheetView guid="{00AC2CC8-9B9F-4979-A039-643E7B67D066}" scale="90" showGridLines="0" topLeftCell="A19">
      <selection activeCell="C47" sqref="C47"/>
      <pageMargins left="0.19685039370078741" right="0.19685039370078741" top="0.19685039370078741" bottom="0.19685039370078741" header="0" footer="0"/>
      <printOptions horizontalCentered="1" verticalCentered="1"/>
      <pageSetup paperSize="9" scale="80" orientation="landscape" r:id="rId3"/>
      <headerFooter alignWithMargins="0"/>
    </customSheetView>
  </customSheetViews>
  <mergeCells count="26">
    <mergeCell ref="B27:C27"/>
    <mergeCell ref="C4:E4"/>
    <mergeCell ref="C5:E5"/>
    <mergeCell ref="C6:E6"/>
    <mergeCell ref="B21:C21"/>
    <mergeCell ref="B8:C8"/>
    <mergeCell ref="B9:C9"/>
    <mergeCell ref="B10:C10"/>
    <mergeCell ref="E25:M25"/>
    <mergeCell ref="D24:E24"/>
    <mergeCell ref="B20:M20"/>
    <mergeCell ref="C2:L2"/>
    <mergeCell ref="G4:I4"/>
    <mergeCell ref="G5:I5"/>
    <mergeCell ref="G6:I6"/>
    <mergeCell ref="K3:L3"/>
    <mergeCell ref="K4:M6"/>
    <mergeCell ref="J4:J6"/>
    <mergeCell ref="C3:E3"/>
    <mergeCell ref="G3:J3"/>
    <mergeCell ref="P4:Q4"/>
    <mergeCell ref="P5:Q5"/>
    <mergeCell ref="P19:P20"/>
    <mergeCell ref="Q19:Q20"/>
    <mergeCell ref="P7:P8"/>
    <mergeCell ref="Q7:Q8"/>
  </mergeCells>
  <phoneticPr fontId="3" type="noConversion"/>
  <dataValidations count="2">
    <dataValidation type="list" allowBlank="1" showInputMessage="1" showErrorMessage="1" sqref="P5 Q21" xr:uid="{2A129EC1-6730-4F7A-9484-0D3D3692ECEF}">
      <formula1>"Auto,Manual"</formula1>
    </dataValidation>
    <dataValidation type="list" allowBlank="1" showInputMessage="1" showErrorMessage="1" sqref="Q22 Q17:Q19" xr:uid="{C6ACF5F9-05C5-4C94-9C16-EADB68B68F3F}">
      <formula1>"ON,OFF"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9" scale="80" orientation="landscape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054" r:id="rId7" name="Spinner 6">
              <controlPr defaultSize="0" autoPict="0">
                <anchor moveWithCells="1" sizeWithCells="1">
                  <from>
                    <xdr:col>12</xdr:col>
                    <xdr:colOff>7620</xdr:colOff>
                    <xdr:row>2</xdr:row>
                    <xdr:rowOff>7620</xdr:rowOff>
                  </from>
                  <to>
                    <xdr:col>12</xdr:col>
                    <xdr:colOff>975360</xdr:colOff>
                    <xdr:row>2</xdr:row>
                    <xdr:rowOff>449580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58" r:id="rId8" name="Spinner 10">
              <controlPr defaultSize="0" autoPict="0">
                <anchor moveWithCells="1" sizeWithCells="1">
                  <from>
                    <xdr:col>17</xdr:col>
                    <xdr:colOff>7620</xdr:colOff>
                    <xdr:row>1</xdr:row>
                    <xdr:rowOff>15240</xdr:rowOff>
                  </from>
                  <to>
                    <xdr:col>17</xdr:col>
                    <xdr:colOff>967740</xdr:colOff>
                    <xdr:row>1</xdr:row>
                    <xdr:rowOff>525780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70C0"/>
    <pageSetUpPr fitToPage="1"/>
  </sheetPr>
  <dimension ref="A1:X31"/>
  <sheetViews>
    <sheetView showGridLines="0" zoomScale="70" zoomScaleNormal="70" workbookViewId="0">
      <selection activeCell="X2" sqref="X2"/>
    </sheetView>
  </sheetViews>
  <sheetFormatPr defaultColWidth="9.16796875" defaultRowHeight="21" x14ac:dyDescent="0.15"/>
  <cols>
    <col min="1" max="1" width="12.13671875" style="95" customWidth="1"/>
    <col min="2" max="2" width="7.4140625" style="95" customWidth="1"/>
    <col min="3" max="4" width="22.25" style="95" customWidth="1"/>
    <col min="5" max="13" width="17.6640625" style="95" customWidth="1"/>
    <col min="14" max="14" width="19.95703125" style="95" customWidth="1"/>
    <col min="15" max="15" width="20.08984375" style="95" bestFit="1" customWidth="1"/>
    <col min="16" max="16" width="12" style="95" customWidth="1"/>
    <col min="17" max="17" width="9.16796875" style="95"/>
    <col min="18" max="18" width="24.8125" style="599" customWidth="1"/>
    <col min="19" max="19" width="45.30859375" style="599" customWidth="1"/>
    <col min="20" max="20" width="12.80859375" style="599" customWidth="1"/>
    <col min="21" max="21" width="44.09375" style="599" customWidth="1"/>
    <col min="22" max="23" width="9.16796875" style="95"/>
    <col min="24" max="24" width="9.16796875" style="95" customWidth="1"/>
    <col min="25" max="16384" width="9.16796875" style="95"/>
  </cols>
  <sheetData>
    <row r="1" spans="1:24" ht="30" customHeight="1" thickBot="1" x14ac:dyDescent="0.2">
      <c r="A1" s="408"/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</row>
    <row r="2" spans="1:24" ht="52.5" thickBot="1" x14ac:dyDescent="0.2">
      <c r="A2" s="408"/>
      <c r="B2" s="1233" t="s">
        <v>11</v>
      </c>
      <c r="C2" s="1234"/>
      <c r="D2" s="1241" t="s">
        <v>69</v>
      </c>
      <c r="E2" s="1241"/>
      <c r="F2" s="1241"/>
      <c r="G2" s="1241"/>
      <c r="H2" s="1241"/>
      <c r="I2" s="1241"/>
      <c r="J2" s="1241"/>
      <c r="K2" s="1241"/>
      <c r="L2" s="1241"/>
      <c r="M2" s="1241"/>
      <c r="N2" s="793" t="s">
        <v>361</v>
      </c>
      <c r="O2" s="792">
        <f>S4</f>
        <v>0.75</v>
      </c>
      <c r="P2" s="434"/>
      <c r="R2" s="887" t="s">
        <v>179</v>
      </c>
      <c r="S2" s="888" t="str">
        <f>COM!$B$1</f>
        <v>สุพรีม ไลฟ์  โพรเทคเตอร์ A90/20</v>
      </c>
      <c r="T2" s="1240"/>
      <c r="U2" s="1232" t="str">
        <f>COM!E1</f>
        <v>20SLPA</v>
      </c>
      <c r="X2" s="96"/>
    </row>
    <row r="3" spans="1:24" ht="18.600000000000001" customHeight="1" thickBot="1" x14ac:dyDescent="0.2">
      <c r="A3" s="436"/>
      <c r="B3" s="143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5"/>
      <c r="P3" s="408"/>
      <c r="R3" s="887"/>
      <c r="S3" s="888"/>
      <c r="T3" s="1240"/>
      <c r="U3" s="1232"/>
    </row>
    <row r="4" spans="1:24" s="97" customFormat="1" ht="30.75" customHeight="1" x14ac:dyDescent="0.15">
      <c r="A4" s="403"/>
      <c r="B4" s="393" t="s">
        <v>12</v>
      </c>
      <c r="C4" s="394" t="s">
        <v>23</v>
      </c>
      <c r="D4" s="394" t="s">
        <v>151</v>
      </c>
      <c r="E4" s="394" t="s">
        <v>57</v>
      </c>
      <c r="F4" s="394" t="s">
        <v>58</v>
      </c>
      <c r="G4" s="394" t="s">
        <v>59</v>
      </c>
      <c r="H4" s="394" t="s">
        <v>60</v>
      </c>
      <c r="I4" s="394" t="s">
        <v>152</v>
      </c>
      <c r="J4" s="394" t="s">
        <v>242</v>
      </c>
      <c r="K4" s="394" t="s">
        <v>153</v>
      </c>
      <c r="L4" s="395" t="s">
        <v>243</v>
      </c>
      <c r="M4" s="395" t="s">
        <v>244</v>
      </c>
      <c r="N4" s="393" t="s">
        <v>61</v>
      </c>
      <c r="O4" s="396" t="s">
        <v>19</v>
      </c>
      <c r="P4" s="403"/>
      <c r="R4" s="364" t="s">
        <v>361</v>
      </c>
      <c r="S4" s="634">
        <f>COM!F1</f>
        <v>0.75</v>
      </c>
      <c r="T4" s="600"/>
      <c r="U4" s="600"/>
    </row>
    <row r="5" spans="1:24" ht="41.25" x14ac:dyDescent="0.15">
      <c r="A5" s="408"/>
      <c r="B5" s="397">
        <v>1</v>
      </c>
      <c r="C5" s="398">
        <f>IF($U$5="Auto",F22*F20,S5)</f>
        <v>48000000</v>
      </c>
      <c r="D5" s="400">
        <f>M13*C5</f>
        <v>19200000</v>
      </c>
      <c r="E5" s="162"/>
      <c r="F5" s="162"/>
      <c r="G5" s="146"/>
      <c r="H5" s="146"/>
      <c r="I5" s="146">
        <f>IF(S19="ON",'COM10'!D22,0)</f>
        <v>5040000</v>
      </c>
      <c r="J5" s="146">
        <f>IF(S20="ON",'COM10'!D23,0)</f>
        <v>5040000</v>
      </c>
      <c r="K5" s="146"/>
      <c r="L5" s="146">
        <f>IF(S22="ON",'COM10'!D25,0)</f>
        <v>40000</v>
      </c>
      <c r="M5" s="147">
        <f>IF(S23="ON",'COM10'!D26,0)</f>
        <v>720000</v>
      </c>
      <c r="N5" s="148">
        <f>SUM(D5:M5)</f>
        <v>30040000</v>
      </c>
      <c r="O5" s="149">
        <f>N5/12</f>
        <v>2503333.3333333335</v>
      </c>
      <c r="P5" s="408"/>
      <c r="R5" s="592" t="s">
        <v>23</v>
      </c>
      <c r="S5" s="595">
        <v>10000000</v>
      </c>
      <c r="T5" s="594" t="s">
        <v>32</v>
      </c>
      <c r="U5" s="593" t="s">
        <v>182</v>
      </c>
    </row>
    <row r="6" spans="1:24" ht="41.25" x14ac:dyDescent="0.15">
      <c r="A6" s="408"/>
      <c r="B6" s="397">
        <v>2</v>
      </c>
      <c r="C6" s="399">
        <f t="shared" ref="C6:C9" si="0">C5</f>
        <v>48000000</v>
      </c>
      <c r="D6" s="401">
        <f>D5</f>
        <v>19200000</v>
      </c>
      <c r="E6" s="163">
        <f>$M$14*C5</f>
        <v>7680000</v>
      </c>
      <c r="F6" s="163"/>
      <c r="G6" s="150"/>
      <c r="H6" s="150"/>
      <c r="I6" s="150">
        <f>IF(S19="ON",'COM10'!E22,0)</f>
        <v>5040000</v>
      </c>
      <c r="J6" s="150">
        <f>IF(S20="ON",'COM10'!E23,0)</f>
        <v>5040000</v>
      </c>
      <c r="K6" s="150"/>
      <c r="L6" s="150"/>
      <c r="M6" s="151">
        <f>IF(S23="ON",'COM10'!E26,0)</f>
        <v>720000</v>
      </c>
      <c r="N6" s="152">
        <f>SUM(D6:M6)</f>
        <v>37680000</v>
      </c>
      <c r="O6" s="153">
        <f>N6/12</f>
        <v>3140000</v>
      </c>
      <c r="P6" s="408"/>
    </row>
    <row r="7" spans="1:24" ht="41.25" x14ac:dyDescent="0.15">
      <c r="A7" s="408"/>
      <c r="B7" s="397">
        <v>3</v>
      </c>
      <c r="C7" s="399">
        <f t="shared" si="0"/>
        <v>48000000</v>
      </c>
      <c r="D7" s="401">
        <f>D6</f>
        <v>19200000</v>
      </c>
      <c r="E7" s="164">
        <f>$M$14*C6</f>
        <v>7680000</v>
      </c>
      <c r="F7" s="164">
        <f>$M$15*C5</f>
        <v>4800000</v>
      </c>
      <c r="G7" s="154"/>
      <c r="H7" s="154"/>
      <c r="I7" s="154">
        <f>IF(S19="ON",'COM10'!F22,0)</f>
        <v>5040000</v>
      </c>
      <c r="J7" s="154">
        <f>IF(S20="ON",'COM10'!F23,0)</f>
        <v>5040000</v>
      </c>
      <c r="K7" s="154">
        <f>IF(S21="ON",'COM10'!F24,0)</f>
        <v>4320000</v>
      </c>
      <c r="L7" s="154"/>
      <c r="M7" s="155">
        <f>IF(S23="ON",'COM10'!F26,0)</f>
        <v>720000</v>
      </c>
      <c r="N7" s="156">
        <f>SUM(D7:M7)</f>
        <v>46800000</v>
      </c>
      <c r="O7" s="157">
        <f>N7/12</f>
        <v>3900000</v>
      </c>
      <c r="P7" s="408"/>
      <c r="R7" s="1153" t="s">
        <v>318</v>
      </c>
      <c r="S7" s="1168"/>
      <c r="T7" s="1242" t="str">
        <f>IF(AND(R8="Auto",Life!S2="Manual"),"กลับไปยกเลิก Manual หน้า Life","")</f>
        <v/>
      </c>
      <c r="U7" s="1243"/>
    </row>
    <row r="8" spans="1:24" ht="41.25" x14ac:dyDescent="0.15">
      <c r="A8" s="408"/>
      <c r="B8" s="397">
        <v>4</v>
      </c>
      <c r="C8" s="399">
        <f t="shared" si="0"/>
        <v>48000000</v>
      </c>
      <c r="D8" s="401">
        <f>D7</f>
        <v>19200000</v>
      </c>
      <c r="E8" s="163">
        <f>$M$14*C7</f>
        <v>7680000</v>
      </c>
      <c r="F8" s="163">
        <f>$M$15*C6</f>
        <v>4800000</v>
      </c>
      <c r="G8" s="150">
        <f>$M$16*C5</f>
        <v>2400000</v>
      </c>
      <c r="H8" s="150"/>
      <c r="I8" s="150">
        <f>IF(S19="ON",'COM10'!G22,0)</f>
        <v>5040000</v>
      </c>
      <c r="J8" s="150">
        <f>IF(S20="ON",'COM10'!G23,0)</f>
        <v>5040000</v>
      </c>
      <c r="K8" s="150">
        <f>IF(S21="ON",'COM10'!G24,0)</f>
        <v>7020000</v>
      </c>
      <c r="L8" s="150"/>
      <c r="M8" s="151">
        <f>IF(S23="ON",'COM10'!G26,0)</f>
        <v>720000</v>
      </c>
      <c r="N8" s="152">
        <f>SUM(D8:M8)</f>
        <v>51900000</v>
      </c>
      <c r="O8" s="153">
        <f>N8/12</f>
        <v>4325000</v>
      </c>
      <c r="P8" s="408"/>
      <c r="R8" s="1169" t="s">
        <v>182</v>
      </c>
      <c r="S8" s="1170"/>
      <c r="T8" s="1244"/>
      <c r="U8" s="1245"/>
    </row>
    <row r="9" spans="1:24" ht="41.25" x14ac:dyDescent="0.15">
      <c r="A9" s="408"/>
      <c r="B9" s="397">
        <v>5</v>
      </c>
      <c r="C9" s="399">
        <f t="shared" si="0"/>
        <v>48000000</v>
      </c>
      <c r="D9" s="402">
        <f>D8</f>
        <v>19200000</v>
      </c>
      <c r="E9" s="165">
        <f>$M$14*C8</f>
        <v>7680000</v>
      </c>
      <c r="F9" s="165">
        <f>$M$15*C7</f>
        <v>4800000</v>
      </c>
      <c r="G9" s="158">
        <f>$M$16*C6</f>
        <v>2400000</v>
      </c>
      <c r="H9" s="158">
        <f>C5*$M$17</f>
        <v>2400000</v>
      </c>
      <c r="I9" s="158">
        <f>IF(S19="ON",'COM10'!H22,0)</f>
        <v>5040000</v>
      </c>
      <c r="J9" s="158">
        <f>IF(S20="ON",'COM10'!H23,0)</f>
        <v>5040000</v>
      </c>
      <c r="K9" s="158">
        <f>IF(S21="ON",'COM10'!H24,0)</f>
        <v>8370000</v>
      </c>
      <c r="L9" s="158"/>
      <c r="M9" s="159">
        <f>IF(S23="ON",'COM10'!H26,0)</f>
        <v>720000</v>
      </c>
      <c r="N9" s="160">
        <f>SUM(D9:M9)</f>
        <v>55650000</v>
      </c>
      <c r="O9" s="161">
        <f>N9/12</f>
        <v>4637500</v>
      </c>
      <c r="P9" s="408"/>
      <c r="R9" s="592" t="s">
        <v>313</v>
      </c>
      <c r="S9" s="593">
        <v>6</v>
      </c>
      <c r="T9" s="594" t="s">
        <v>32</v>
      </c>
    </row>
    <row r="10" spans="1:24" ht="52.5" thickBot="1" x14ac:dyDescent="0.2">
      <c r="A10" s="403"/>
      <c r="B10" s="1237" t="s">
        <v>94</v>
      </c>
      <c r="C10" s="1238"/>
      <c r="D10" s="1238"/>
      <c r="E10" s="1238"/>
      <c r="F10" s="1238"/>
      <c r="G10" s="1238"/>
      <c r="H10" s="1238"/>
      <c r="I10" s="1238"/>
      <c r="J10" s="1238"/>
      <c r="K10" s="1238"/>
      <c r="L10" s="1238"/>
      <c r="M10" s="1239"/>
      <c r="N10" s="1235">
        <f>SUM(N5:N9)</f>
        <v>222070000</v>
      </c>
      <c r="O10" s="1236"/>
      <c r="P10" s="408"/>
      <c r="R10" s="592" t="s">
        <v>62</v>
      </c>
      <c r="S10" s="593">
        <v>6</v>
      </c>
      <c r="T10" s="594" t="s">
        <v>314</v>
      </c>
    </row>
    <row r="11" spans="1:24" s="97" customFormat="1" ht="16.5" customHeight="1" x14ac:dyDescent="0.15">
      <c r="A11" s="403"/>
      <c r="B11" s="404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05"/>
      <c r="O11" s="406"/>
      <c r="P11" s="407"/>
      <c r="R11" s="886" t="s">
        <v>316</v>
      </c>
      <c r="S11" s="1113">
        <v>1</v>
      </c>
      <c r="T11" s="1113">
        <v>10</v>
      </c>
      <c r="U11" s="599"/>
    </row>
    <row r="12" spans="1:24" s="97" customFormat="1" ht="41.25" x14ac:dyDescent="0.15">
      <c r="A12" s="408"/>
      <c r="B12" s="408"/>
      <c r="C12" s="1229" t="s">
        <v>30</v>
      </c>
      <c r="D12" s="1229"/>
      <c r="E12" s="1229"/>
      <c r="F12" s="1229"/>
      <c r="G12" s="409"/>
      <c r="H12" s="409"/>
      <c r="I12" s="409"/>
      <c r="J12" s="409"/>
      <c r="K12" s="633"/>
      <c r="L12" s="633"/>
      <c r="M12" s="633"/>
      <c r="N12" s="409"/>
      <c r="O12" s="410"/>
      <c r="P12" s="411"/>
      <c r="R12" s="886"/>
      <c r="S12" s="1113"/>
      <c r="T12" s="1113"/>
      <c r="U12" s="600"/>
    </row>
    <row r="13" spans="1:24" ht="41.25" x14ac:dyDescent="0.15">
      <c r="A13" s="408"/>
      <c r="B13" s="408"/>
      <c r="C13" s="412" t="s">
        <v>31</v>
      </c>
      <c r="D13" s="413"/>
      <c r="E13" s="414"/>
      <c r="F13" s="415">
        <f>IF($R$8="Auto",Life!E3,S9)</f>
        <v>10</v>
      </c>
      <c r="G13" s="416" t="s">
        <v>32</v>
      </c>
      <c r="H13" s="409"/>
      <c r="I13" s="409"/>
      <c r="J13" s="409"/>
      <c r="K13" s="417">
        <v>1</v>
      </c>
      <c r="L13" s="412" t="s">
        <v>151</v>
      </c>
      <c r="M13" s="418">
        <f>IF($R$8="Auto",'COM10'!C11,S14)</f>
        <v>0.4</v>
      </c>
      <c r="N13" s="419" t="s">
        <v>64</v>
      </c>
      <c r="O13" s="410"/>
      <c r="P13" s="411"/>
      <c r="R13" s="592" t="s">
        <v>317</v>
      </c>
      <c r="S13" s="595">
        <v>100000</v>
      </c>
      <c r="T13" s="594" t="s">
        <v>2</v>
      </c>
      <c r="U13" s="600"/>
    </row>
    <row r="14" spans="1:24" ht="41.25" x14ac:dyDescent="0.15">
      <c r="A14" s="408"/>
      <c r="B14" s="408"/>
      <c r="C14" s="412" t="str">
        <f>"สัปดาห์ละ  "&amp;IF($R$8="Auto",Life!$F$4,S10)&amp;" วัน"</f>
        <v>สัปดาห์ละ  5 วัน</v>
      </c>
      <c r="D14" s="413"/>
      <c r="E14" s="414"/>
      <c r="F14" s="420">
        <f>IF($R$8="Auto",Life!$F$4*F13,S10*F13)</f>
        <v>50</v>
      </c>
      <c r="G14" s="416" t="s">
        <v>32</v>
      </c>
      <c r="H14" s="409"/>
      <c r="I14" s="409"/>
      <c r="J14" s="409"/>
      <c r="K14" s="417">
        <v>2</v>
      </c>
      <c r="L14" s="412" t="s">
        <v>57</v>
      </c>
      <c r="M14" s="418">
        <f>IF($R$8="Auto",'COM10'!C12,S15)</f>
        <v>0.16</v>
      </c>
      <c r="N14" s="419" t="s">
        <v>64</v>
      </c>
      <c r="O14" s="410"/>
      <c r="P14" s="411"/>
      <c r="R14" s="364" t="s">
        <v>151</v>
      </c>
      <c r="S14" s="598">
        <v>0.3</v>
      </c>
    </row>
    <row r="15" spans="1:24" ht="41.25" x14ac:dyDescent="0.15">
      <c r="A15" s="408"/>
      <c r="B15" s="408"/>
      <c r="C15" s="412" t="s">
        <v>36</v>
      </c>
      <c r="D15" s="413"/>
      <c r="E15" s="414"/>
      <c r="F15" s="420">
        <f>4*F14</f>
        <v>200</v>
      </c>
      <c r="G15" s="416" t="s">
        <v>32</v>
      </c>
      <c r="H15" s="409"/>
      <c r="I15" s="409"/>
      <c r="J15" s="409"/>
      <c r="K15" s="417">
        <v>3</v>
      </c>
      <c r="L15" s="412" t="s">
        <v>58</v>
      </c>
      <c r="M15" s="418">
        <f>IF($R$8="Auto",'COM10'!C13,S16)</f>
        <v>0.1</v>
      </c>
      <c r="N15" s="419" t="s">
        <v>64</v>
      </c>
      <c r="O15" s="410"/>
      <c r="P15" s="408"/>
      <c r="R15" s="364" t="s">
        <v>57</v>
      </c>
      <c r="S15" s="598">
        <v>0.15</v>
      </c>
    </row>
    <row r="16" spans="1:24" ht="41.25" x14ac:dyDescent="0.15">
      <c r="A16" s="408"/>
      <c r="B16" s="408"/>
      <c r="C16" s="412" t="s">
        <v>37</v>
      </c>
      <c r="D16" s="413" t="s">
        <v>38</v>
      </c>
      <c r="E16" s="414"/>
      <c r="F16" s="420">
        <f>12*F15</f>
        <v>2400</v>
      </c>
      <c r="G16" s="416" t="s">
        <v>32</v>
      </c>
      <c r="H16" s="409"/>
      <c r="I16" s="409"/>
      <c r="J16" s="409"/>
      <c r="K16" s="417">
        <v>4</v>
      </c>
      <c r="L16" s="412" t="s">
        <v>59</v>
      </c>
      <c r="M16" s="418">
        <f>IF($R$8="Auto",'COM10'!C14,S17)</f>
        <v>0.05</v>
      </c>
      <c r="N16" s="419" t="s">
        <v>64</v>
      </c>
      <c r="O16" s="410"/>
      <c r="P16" s="408"/>
      <c r="R16" s="364" t="s">
        <v>58</v>
      </c>
      <c r="S16" s="598">
        <v>0.1</v>
      </c>
    </row>
    <row r="17" spans="1:21" ht="41.25" x14ac:dyDescent="0.15">
      <c r="A17" s="408"/>
      <c r="B17" s="408"/>
      <c r="C17" s="412" t="s">
        <v>40</v>
      </c>
      <c r="D17" s="413"/>
      <c r="E17" s="414"/>
      <c r="F17" s="421" t="str">
        <f>IF($R$8="Auto",Life!E7,S11)&amp;"  :  "&amp;IF($R$8="Auto",Life!H7,T11)</f>
        <v>1  :  5</v>
      </c>
      <c r="G17" s="417"/>
      <c r="H17" s="409"/>
      <c r="I17" s="409"/>
      <c r="J17" s="409"/>
      <c r="K17" s="417">
        <v>5</v>
      </c>
      <c r="L17" s="412" t="s">
        <v>60</v>
      </c>
      <c r="M17" s="418">
        <f>IF($R$8="Auto",'COM10'!C15,S18)</f>
        <v>0.05</v>
      </c>
      <c r="N17" s="419" t="s">
        <v>64</v>
      </c>
      <c r="O17" s="410"/>
      <c r="P17" s="408"/>
      <c r="R17" s="364" t="s">
        <v>59</v>
      </c>
      <c r="S17" s="598">
        <v>0.05</v>
      </c>
    </row>
    <row r="18" spans="1:21" ht="41.25" x14ac:dyDescent="0.15">
      <c r="A18" s="408"/>
      <c r="B18" s="408"/>
      <c r="C18" s="409"/>
      <c r="D18" s="409"/>
      <c r="E18" s="414"/>
      <c r="F18" s="409"/>
      <c r="G18" s="410"/>
      <c r="H18" s="409"/>
      <c r="I18" s="409"/>
      <c r="J18" s="409"/>
      <c r="K18" s="417">
        <v>6</v>
      </c>
      <c r="L18" s="412" t="s">
        <v>152</v>
      </c>
      <c r="M18" s="603" t="str">
        <f>IF(S19="ON",'COM10'!C22,0%)</f>
        <v>35%</v>
      </c>
      <c r="N18" s="419" t="s">
        <v>160</v>
      </c>
      <c r="O18" s="410"/>
      <c r="P18" s="408"/>
      <c r="R18" s="364" t="s">
        <v>60</v>
      </c>
      <c r="S18" s="598">
        <v>0.05</v>
      </c>
    </row>
    <row r="19" spans="1:21" ht="41.25" x14ac:dyDescent="0.15">
      <c r="A19" s="408"/>
      <c r="B19" s="408"/>
      <c r="C19" s="1229" t="s">
        <v>42</v>
      </c>
      <c r="D19" s="1229"/>
      <c r="E19" s="1229"/>
      <c r="F19" s="422"/>
      <c r="G19" s="423"/>
      <c r="H19" s="409"/>
      <c r="I19" s="409"/>
      <c r="J19" s="409"/>
      <c r="K19" s="417">
        <v>7</v>
      </c>
      <c r="L19" s="412" t="s">
        <v>242</v>
      </c>
      <c r="M19" s="418">
        <f>IF(S20="ON",'COM10'!C23,0%)</f>
        <v>0.35</v>
      </c>
      <c r="N19" s="419" t="s">
        <v>157</v>
      </c>
      <c r="O19" s="410"/>
      <c r="P19" s="408"/>
      <c r="R19" s="364" t="s">
        <v>152</v>
      </c>
      <c r="S19" s="597" t="s">
        <v>312</v>
      </c>
      <c r="T19" s="1228" t="str">
        <f>IF(AND(S19="ON",'COM10'!Q17="OFF"),"กลับไปยกเลิก OFF หน้า COM10","")</f>
        <v/>
      </c>
      <c r="U19" s="1228"/>
    </row>
    <row r="20" spans="1:21" ht="41.25" x14ac:dyDescent="0.15">
      <c r="A20" s="408"/>
      <c r="B20" s="408"/>
      <c r="C20" s="412" t="s">
        <v>43</v>
      </c>
      <c r="D20" s="412"/>
      <c r="E20" s="413"/>
      <c r="F20" s="424">
        <f>F16/Life!H7</f>
        <v>480</v>
      </c>
      <c r="G20" s="416" t="s">
        <v>32</v>
      </c>
      <c r="H20" s="409"/>
      <c r="I20" s="409"/>
      <c r="J20" s="409"/>
      <c r="K20" s="417">
        <v>9</v>
      </c>
      <c r="L20" s="412" t="s">
        <v>244</v>
      </c>
      <c r="M20" s="418">
        <f>IF(S23="ON",'COM10'!C26,0%)</f>
        <v>0.05</v>
      </c>
      <c r="N20" s="419" t="s">
        <v>157</v>
      </c>
      <c r="O20" s="410"/>
      <c r="P20" s="408"/>
      <c r="R20" s="364" t="s">
        <v>242</v>
      </c>
      <c r="S20" s="597" t="s">
        <v>312</v>
      </c>
      <c r="T20" s="1228" t="str">
        <f>IF(AND(S20="ON",'COM10'!Q18="OFF"),"กลับไปยกเลิก OFF หน้า COM10","")</f>
        <v/>
      </c>
      <c r="U20" s="1228"/>
    </row>
    <row r="21" spans="1:21" ht="41.25" x14ac:dyDescent="0.15">
      <c r="A21" s="408"/>
      <c r="B21" s="408"/>
      <c r="C21" s="412" t="s">
        <v>36</v>
      </c>
      <c r="D21" s="412"/>
      <c r="E21" s="413"/>
      <c r="F21" s="424">
        <f>F20/12</f>
        <v>40</v>
      </c>
      <c r="G21" s="416" t="s">
        <v>32</v>
      </c>
      <c r="H21" s="409"/>
      <c r="I21" s="409"/>
      <c r="J21" s="409"/>
      <c r="K21" s="417">
        <v>10</v>
      </c>
      <c r="L21" s="412" t="s">
        <v>274</v>
      </c>
      <c r="M21" s="418">
        <f>IF($R$8="Auto",'COM10'!K3,S24)</f>
        <v>0.75</v>
      </c>
      <c r="N21" s="410"/>
      <c r="O21" s="410"/>
      <c r="P21" s="425"/>
      <c r="R21" s="364" t="s">
        <v>153</v>
      </c>
      <c r="S21" s="597" t="s">
        <v>312</v>
      </c>
      <c r="T21" s="1228" t="str">
        <f>IF(AND(S21="ON",'COM10'!Q19="OFF"),"กลับไปยกเลิก OFF หน้า COM10","")</f>
        <v/>
      </c>
      <c r="U21" s="1228"/>
    </row>
    <row r="22" spans="1:21" ht="34.5" customHeight="1" x14ac:dyDescent="0.15">
      <c r="A22" s="408"/>
      <c r="B22" s="408"/>
      <c r="C22" s="412" t="s">
        <v>44</v>
      </c>
      <c r="D22" s="412"/>
      <c r="E22" s="413"/>
      <c r="F22" s="426">
        <f>IF($R$8="Auto",Life!E11,S13)</f>
        <v>100000</v>
      </c>
      <c r="G22" s="416" t="s">
        <v>2</v>
      </c>
      <c r="H22" s="437"/>
      <c r="I22" s="437"/>
      <c r="J22" s="409"/>
      <c r="K22" s="633"/>
      <c r="L22" s="428"/>
      <c r="M22" s="428"/>
      <c r="N22" s="428"/>
      <c r="O22" s="410"/>
      <c r="P22" s="408"/>
      <c r="R22" s="364" t="s">
        <v>243</v>
      </c>
      <c r="S22" s="597" t="s">
        <v>312</v>
      </c>
      <c r="T22" s="95"/>
      <c r="U22" s="95"/>
    </row>
    <row r="23" spans="1:21" ht="41.25" x14ac:dyDescent="0.15">
      <c r="A23" s="408"/>
      <c r="B23" s="408"/>
      <c r="C23" s="413"/>
      <c r="D23" s="413"/>
      <c r="E23" s="413"/>
      <c r="F23" s="430"/>
      <c r="G23" s="427"/>
      <c r="H23" s="429"/>
      <c r="I23" s="429"/>
      <c r="J23" s="429"/>
      <c r="K23" s="410"/>
      <c r="L23" s="410"/>
      <c r="M23" s="410"/>
      <c r="N23" s="410"/>
      <c r="O23" s="410"/>
      <c r="P23" s="403"/>
      <c r="R23" s="364" t="s">
        <v>244</v>
      </c>
      <c r="S23" s="597" t="s">
        <v>312</v>
      </c>
      <c r="T23" s="1228" t="str">
        <f>IF(AND(S23="ON",'COM10'!Q22="OFF"),"กลับไปยกเลิก OFF หน้า COM10","")</f>
        <v/>
      </c>
      <c r="U23" s="1228"/>
    </row>
    <row r="24" spans="1:21" ht="41.25" x14ac:dyDescent="0.15">
      <c r="A24" s="408"/>
      <c r="B24" s="408"/>
      <c r="C24" s="413"/>
      <c r="D24" s="413"/>
      <c r="E24" s="413"/>
      <c r="F24" s="430"/>
      <c r="G24" s="427"/>
      <c r="H24" s="429"/>
      <c r="I24" s="429"/>
      <c r="J24" s="429"/>
      <c r="K24" s="412"/>
      <c r="L24" s="418"/>
      <c r="M24" s="412"/>
      <c r="N24" s="410"/>
      <c r="O24" s="410"/>
      <c r="P24" s="403"/>
      <c r="R24" s="364" t="s">
        <v>274</v>
      </c>
      <c r="S24" s="598">
        <v>0.75</v>
      </c>
    </row>
    <row r="25" spans="1:21" ht="39.75" x14ac:dyDescent="0.15">
      <c r="A25" s="408"/>
      <c r="B25" s="408"/>
      <c r="C25" s="431" t="s">
        <v>65</v>
      </c>
      <c r="D25" s="432" t="s">
        <v>66</v>
      </c>
      <c r="E25" s="1231" t="s">
        <v>96</v>
      </c>
      <c r="F25" s="1231"/>
      <c r="G25" s="1231"/>
      <c r="H25" s="1231"/>
      <c r="I25" s="1231"/>
      <c r="J25" s="429"/>
      <c r="K25" s="433" t="s">
        <v>159</v>
      </c>
      <c r="L25" s="1231" t="s">
        <v>281</v>
      </c>
      <c r="M25" s="1231"/>
      <c r="N25" s="1231"/>
      <c r="O25" s="1231"/>
      <c r="P25" s="1231"/>
    </row>
    <row r="26" spans="1:21" ht="39.75" x14ac:dyDescent="0.15">
      <c r="A26" s="408"/>
      <c r="B26" s="408"/>
      <c r="C26" s="425"/>
      <c r="D26" s="432" t="s">
        <v>67</v>
      </c>
      <c r="E26" s="1230" t="s">
        <v>98</v>
      </c>
      <c r="F26" s="1230"/>
      <c r="G26" s="1230"/>
      <c r="H26" s="1230"/>
      <c r="I26" s="1230"/>
      <c r="J26" s="429"/>
      <c r="K26" s="433" t="s">
        <v>277</v>
      </c>
      <c r="L26" s="1231" t="s">
        <v>282</v>
      </c>
      <c r="M26" s="1231"/>
      <c r="N26" s="1231"/>
      <c r="O26" s="1231"/>
      <c r="P26" s="1231"/>
    </row>
    <row r="27" spans="1:21" ht="39.75" x14ac:dyDescent="0.15">
      <c r="A27" s="408"/>
      <c r="B27" s="408"/>
      <c r="C27" s="425"/>
      <c r="D27" s="432" t="s">
        <v>68</v>
      </c>
      <c r="E27" s="1230" t="s">
        <v>97</v>
      </c>
      <c r="F27" s="1230"/>
      <c r="G27" s="1230"/>
      <c r="H27" s="1230"/>
      <c r="I27" s="1230"/>
      <c r="J27" s="429"/>
      <c r="K27" s="433" t="s">
        <v>278</v>
      </c>
      <c r="L27" s="1231" t="s">
        <v>283</v>
      </c>
      <c r="M27" s="1231"/>
      <c r="N27" s="1231"/>
      <c r="O27" s="1231"/>
      <c r="P27" s="1231"/>
    </row>
    <row r="28" spans="1:21" ht="39.75" x14ac:dyDescent="0.15">
      <c r="A28" s="408"/>
      <c r="B28" s="408"/>
      <c r="C28" s="425"/>
      <c r="D28" s="432" t="s">
        <v>158</v>
      </c>
      <c r="E28" s="1230" t="s">
        <v>276</v>
      </c>
      <c r="F28" s="1230"/>
      <c r="G28" s="1230"/>
      <c r="H28" s="1230"/>
      <c r="I28" s="1230"/>
      <c r="J28" s="429"/>
      <c r="K28" s="433" t="s">
        <v>279</v>
      </c>
      <c r="L28" s="1231" t="s">
        <v>284</v>
      </c>
      <c r="M28" s="1231"/>
      <c r="N28" s="1231"/>
      <c r="O28" s="1231"/>
      <c r="P28" s="1231"/>
    </row>
    <row r="29" spans="1:21" ht="39.75" x14ac:dyDescent="0.15">
      <c r="A29" s="408"/>
      <c r="B29" s="408"/>
      <c r="C29" s="425"/>
      <c r="D29" s="432" t="s">
        <v>275</v>
      </c>
      <c r="E29" s="1230" t="s">
        <v>280</v>
      </c>
      <c r="F29" s="1230"/>
      <c r="G29" s="1230"/>
      <c r="H29" s="1230"/>
      <c r="I29" s="1230"/>
      <c r="J29" s="429"/>
      <c r="K29" s="429"/>
      <c r="L29" s="429"/>
      <c r="M29" s="429"/>
      <c r="N29" s="429"/>
      <c r="O29" s="429"/>
      <c r="P29" s="429"/>
    </row>
    <row r="30" spans="1:21" ht="35.25" customHeight="1" x14ac:dyDescent="0.15">
      <c r="A30" s="408"/>
      <c r="B30" s="408"/>
      <c r="C30" s="435"/>
      <c r="D30" s="413"/>
      <c r="E30" s="409"/>
      <c r="F30" s="413"/>
      <c r="G30" s="413"/>
      <c r="H30" s="409"/>
      <c r="I30" s="409"/>
      <c r="J30" s="409"/>
      <c r="K30" s="429"/>
      <c r="L30" s="429"/>
      <c r="M30" s="429"/>
      <c r="N30" s="429"/>
      <c r="O30" s="429"/>
      <c r="P30" s="403"/>
    </row>
    <row r="31" spans="1:21" ht="33" customHeight="1" x14ac:dyDescent="0.15"/>
  </sheetData>
  <sheetProtection algorithmName="SHA-512" hashValue="FVfzM1XX0dpBTvkrAcEBMCs3TTEcOXefiCKBu239Mgbb8WgDqGGr/lbYIWkJDhBLwJR9T4kDvd7v2rE5WPvCoA==" saltValue="22TPbOhJsb9SnWlQCmhhBA==" spinCount="100000" sheet="1" objects="1" scenarios="1" selectLockedCells="1"/>
  <customSheetViews>
    <customSheetView guid="{82B311FB-57F0-41B4-A7C3-5882014D86A1}" scale="70" showGridLines="0" fitToPage="1">
      <selection activeCell="X2" sqref="X2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52" orientation="landscape" r:id="rId1"/>
      <headerFooter alignWithMargins="0"/>
    </customSheetView>
    <customSheetView guid="{667EEF7A-262F-4932-80D5-D47443835FA2}" scale="75" showPageBreaks="1" showGridLines="0" printArea="1">
      <selection activeCell="D8" sqref="D8"/>
      <pageMargins left="0" right="0" top="0.19685039370078741" bottom="0" header="0.19685039370078741" footer="0"/>
      <printOptions horizontalCentered="1"/>
      <pageSetup paperSize="9" scale="75" orientation="landscape" r:id="rId2"/>
      <headerFooter alignWithMargins="0"/>
    </customSheetView>
    <customSheetView guid="{00AC2CC8-9B9F-4979-A039-643E7B67D066}" scale="70" showGridLines="0" fitToPage="1" topLeftCell="G2">
      <selection activeCell="X2" sqref="X2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50" orientation="landscape" r:id="rId3"/>
      <headerFooter alignWithMargins="0"/>
    </customSheetView>
  </customSheetViews>
  <mergeCells count="29">
    <mergeCell ref="R11:R12"/>
    <mergeCell ref="S11:S12"/>
    <mergeCell ref="T11:T12"/>
    <mergeCell ref="U2:U3"/>
    <mergeCell ref="B2:C2"/>
    <mergeCell ref="C12:F12"/>
    <mergeCell ref="N10:O10"/>
    <mergeCell ref="B10:M10"/>
    <mergeCell ref="T2:T3"/>
    <mergeCell ref="R7:S7"/>
    <mergeCell ref="S2:S3"/>
    <mergeCell ref="D2:M2"/>
    <mergeCell ref="R2:R3"/>
    <mergeCell ref="T7:U8"/>
    <mergeCell ref="R8:S8"/>
    <mergeCell ref="E28:I28"/>
    <mergeCell ref="E29:I29"/>
    <mergeCell ref="L25:P25"/>
    <mergeCell ref="L26:P26"/>
    <mergeCell ref="L27:P27"/>
    <mergeCell ref="E25:I25"/>
    <mergeCell ref="L28:P28"/>
    <mergeCell ref="E26:I26"/>
    <mergeCell ref="E27:I27"/>
    <mergeCell ref="T23:U23"/>
    <mergeCell ref="T19:U19"/>
    <mergeCell ref="T20:U20"/>
    <mergeCell ref="T21:U21"/>
    <mergeCell ref="C19:E19"/>
  </mergeCells>
  <phoneticPr fontId="3" type="noConversion"/>
  <dataValidations count="2">
    <dataValidation type="list" allowBlank="1" showInputMessage="1" showErrorMessage="1" sqref="R8 U5" xr:uid="{104DECD9-2318-4A42-A3CB-9E2270011A8A}">
      <formula1>"Auto,Manual"</formula1>
    </dataValidation>
    <dataValidation type="list" allowBlank="1" showInputMessage="1" showErrorMessage="1" sqref="S19:S23" xr:uid="{C9943080-7B08-40E7-8604-BD3BE191DB37}">
      <formula1>"ON,OFF"</formula1>
    </dataValidation>
  </dataValidation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2" orientation="landscape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6371" r:id="rId7" name="Spinner 3">
              <controlPr defaultSize="0" autoPict="0">
                <anchor moveWithCells="1" sizeWithCells="1">
                  <from>
                    <xdr:col>19</xdr:col>
                    <xdr:colOff>22860</xdr:colOff>
                    <xdr:row>1</xdr:row>
                    <xdr:rowOff>7620</xdr:rowOff>
                  </from>
                  <to>
                    <xdr:col>19</xdr:col>
                    <xdr:colOff>876300</xdr:colOff>
                    <xdr:row>2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78" r:id="rId8" name="Spinner 10">
              <controlPr defaultSize="0" print="0" autoPict="0">
                <anchor moveWithCells="1" sizeWithCells="1">
                  <from>
                    <xdr:col>7</xdr:col>
                    <xdr:colOff>7620</xdr:colOff>
                    <xdr:row>12</xdr:row>
                    <xdr:rowOff>7620</xdr:rowOff>
                  </from>
                  <to>
                    <xdr:col>7</xdr:col>
                    <xdr:colOff>1196340</xdr:colOff>
                    <xdr:row>12</xdr:row>
                    <xdr:rowOff>510540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79" r:id="rId9" name="Spinner 11">
              <controlPr defaultSize="0" print="0" autoPict="0">
                <anchor moveWithCells="1" sizeWithCells="1">
                  <from>
                    <xdr:col>7</xdr:col>
                    <xdr:colOff>7620</xdr:colOff>
                    <xdr:row>16</xdr:row>
                    <xdr:rowOff>15240</xdr:rowOff>
                  </from>
                  <to>
                    <xdr:col>7</xdr:col>
                    <xdr:colOff>640080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80" r:id="rId10" name="Spinner 12">
              <controlPr defaultSize="0" print="0" autoPict="0">
                <anchor moveWithCells="1" sizeWithCells="1">
                  <from>
                    <xdr:col>7</xdr:col>
                    <xdr:colOff>22860</xdr:colOff>
                    <xdr:row>21</xdr:row>
                    <xdr:rowOff>15240</xdr:rowOff>
                  </from>
                  <to>
                    <xdr:col>7</xdr:col>
                    <xdr:colOff>1196340</xdr:colOff>
                    <xdr:row>21</xdr:row>
                    <xdr:rowOff>426720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81" r:id="rId11" name="Spinner 13">
              <controlPr defaultSize="0" print="0" autoPict="0">
                <anchor moveWithCells="1" sizeWithCells="1">
                  <from>
                    <xdr:col>7</xdr:col>
                    <xdr:colOff>655320</xdr:colOff>
                    <xdr:row>16</xdr:row>
                    <xdr:rowOff>7620</xdr:rowOff>
                  </from>
                  <to>
                    <xdr:col>7</xdr:col>
                    <xdr:colOff>1196340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82" r:id="rId12" name="Spinner 14">
              <controlPr defaultSize="0" print="0" autoPict="0">
                <anchor moveWithCells="1" sizeWithCells="1">
                  <from>
                    <xdr:col>7</xdr:col>
                    <xdr:colOff>22860</xdr:colOff>
                    <xdr:row>13</xdr:row>
                    <xdr:rowOff>7620</xdr:rowOff>
                  </from>
                  <to>
                    <xdr:col>7</xdr:col>
                    <xdr:colOff>1196340</xdr:colOff>
                    <xdr:row>13</xdr:row>
                    <xdr:rowOff>510540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70C0"/>
  </sheetPr>
  <dimension ref="A1:AO167"/>
  <sheetViews>
    <sheetView tabSelected="1" topLeftCell="A4" zoomScale="70" workbookViewId="0">
      <selection activeCell="A5" sqref="A5"/>
    </sheetView>
  </sheetViews>
  <sheetFormatPr defaultColWidth="9.16796875" defaultRowHeight="32.25" x14ac:dyDescent="0.15"/>
  <cols>
    <col min="1" max="1" width="4.58203125" style="167" customWidth="1"/>
    <col min="2" max="2" width="9.57421875" style="167" customWidth="1"/>
    <col min="3" max="3" width="18.7421875" style="188" customWidth="1"/>
    <col min="4" max="15" width="12.80859375" style="167" customWidth="1"/>
    <col min="16" max="16" width="2.15625" style="167" customWidth="1"/>
    <col min="17" max="17" width="17.39453125" style="167" customWidth="1"/>
    <col min="18" max="18" width="19.01171875" style="189" customWidth="1"/>
    <col min="19" max="19" width="17.52734375" style="167" bestFit="1" customWidth="1"/>
    <col min="20" max="20" width="26.8359375" style="167" bestFit="1" customWidth="1"/>
    <col min="21" max="21" width="4.44921875" style="167" customWidth="1"/>
    <col min="22" max="22" width="4.8515625" style="167" customWidth="1"/>
    <col min="23" max="23" width="9.16796875" style="167" customWidth="1"/>
    <col min="24" max="24" width="9.16796875" style="167" hidden="1" customWidth="1"/>
    <col min="25" max="25" width="13.6171875" style="167" hidden="1" customWidth="1"/>
    <col min="26" max="26" width="12.5390625" style="170" hidden="1" customWidth="1"/>
    <col min="27" max="36" width="12.5390625" style="167" hidden="1" customWidth="1"/>
    <col min="37" max="37" width="9.16796875" style="167"/>
    <col min="38" max="38" width="24.54296875" style="167" customWidth="1"/>
    <col min="39" max="39" width="42.74609375" style="167" customWidth="1"/>
    <col min="40" max="40" width="15.640625" style="167" customWidth="1"/>
    <col min="41" max="41" width="34.38671875" style="167" customWidth="1"/>
    <col min="42" max="16384" width="9.16796875" style="167"/>
  </cols>
  <sheetData>
    <row r="1" spans="1:41" s="175" customFormat="1" ht="26.25" hidden="1" customHeight="1" x14ac:dyDescent="0.15">
      <c r="A1" s="486"/>
      <c r="B1" s="487"/>
      <c r="C1" s="488"/>
      <c r="D1" s="486"/>
      <c r="E1" s="487"/>
      <c r="F1" s="487">
        <v>15</v>
      </c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6"/>
      <c r="R1" s="489"/>
      <c r="S1" s="487">
        <f>IF(S3="ขายแบบรายปี",1,0)</f>
        <v>1</v>
      </c>
      <c r="T1" s="486"/>
      <c r="U1" s="486"/>
      <c r="W1" s="177"/>
      <c r="X1" s="177"/>
      <c r="Y1" s="177"/>
      <c r="Z1" s="177"/>
      <c r="AM1" s="176" t="s">
        <v>354</v>
      </c>
      <c r="AN1" s="176" t="s">
        <v>320</v>
      </c>
    </row>
    <row r="2" spans="1:41" s="175" customFormat="1" ht="26.25" customHeight="1" thickBot="1" x14ac:dyDescent="0.2">
      <c r="A2" s="487"/>
      <c r="B2" s="487"/>
      <c r="C2" s="488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9"/>
      <c r="S2" s="487"/>
      <c r="T2" s="486"/>
      <c r="U2" s="490"/>
      <c r="W2" s="176"/>
      <c r="X2" s="176"/>
      <c r="Y2" s="176"/>
      <c r="Z2" s="176"/>
      <c r="AN2" s="176"/>
    </row>
    <row r="3" spans="1:41" ht="41.45" customHeight="1" x14ac:dyDescent="0.15">
      <c r="A3" s="487"/>
      <c r="B3" s="490"/>
      <c r="C3" s="846" t="s">
        <v>71</v>
      </c>
      <c r="D3" s="847"/>
      <c r="E3" s="619">
        <f>AM6</f>
        <v>1</v>
      </c>
      <c r="F3" s="490"/>
      <c r="G3" s="846" t="s">
        <v>74</v>
      </c>
      <c r="H3" s="847"/>
      <c r="I3" s="166">
        <f>E4*E3</f>
        <v>10</v>
      </c>
      <c r="J3" s="490"/>
      <c r="K3" s="480" t="s">
        <v>16</v>
      </c>
      <c r="L3" s="822" t="s">
        <v>56</v>
      </c>
      <c r="M3" s="822"/>
      <c r="N3" s="822"/>
      <c r="O3" s="822"/>
      <c r="P3" s="822"/>
      <c r="Q3" s="822"/>
      <c r="R3" s="823"/>
      <c r="S3" s="873" t="str">
        <f>AM15</f>
        <v>ขายแบบรายปี</v>
      </c>
      <c r="T3" s="874"/>
      <c r="U3" s="490"/>
      <c r="AL3" s="887" t="s">
        <v>179</v>
      </c>
      <c r="AM3" s="888" t="str">
        <f>COM!$B$1</f>
        <v>สุพรีม ไลฟ์  โพรเทคเตอร์ A90/20</v>
      </c>
      <c r="AN3" s="892"/>
      <c r="AO3" s="890" t="str">
        <f>COM!E1</f>
        <v>20SLPA</v>
      </c>
    </row>
    <row r="4" spans="1:41" ht="41.45" customHeight="1" x14ac:dyDescent="0.15">
      <c r="A4" s="487"/>
      <c r="B4" s="490"/>
      <c r="C4" s="848" t="s">
        <v>73</v>
      </c>
      <c r="D4" s="849"/>
      <c r="E4" s="620">
        <f>AM8</f>
        <v>10</v>
      </c>
      <c r="F4" s="490"/>
      <c r="G4" s="848" t="s">
        <v>9</v>
      </c>
      <c r="H4" s="849"/>
      <c r="I4" s="168">
        <f>K5</f>
        <v>0.4</v>
      </c>
      <c r="J4" s="490"/>
      <c r="K4" s="474">
        <v>1</v>
      </c>
      <c r="L4" s="475">
        <v>2</v>
      </c>
      <c r="M4" s="475">
        <v>3</v>
      </c>
      <c r="N4" s="475">
        <v>4</v>
      </c>
      <c r="O4" s="820">
        <v>5</v>
      </c>
      <c r="P4" s="820"/>
      <c r="Q4" s="475">
        <v>6</v>
      </c>
      <c r="R4" s="622">
        <v>7</v>
      </c>
      <c r="S4" s="875"/>
      <c r="T4" s="876"/>
      <c r="U4" s="490"/>
      <c r="AL4" s="887"/>
      <c r="AM4" s="888"/>
      <c r="AN4" s="892"/>
      <c r="AO4" s="890"/>
    </row>
    <row r="5" spans="1:41" ht="41.45" customHeight="1" thickBot="1" x14ac:dyDescent="0.2">
      <c r="A5" s="487"/>
      <c r="B5" s="490"/>
      <c r="C5" s="850" t="s">
        <v>72</v>
      </c>
      <c r="D5" s="851"/>
      <c r="E5" s="621">
        <f>AM9</f>
        <v>25000</v>
      </c>
      <c r="F5" s="502"/>
      <c r="G5" s="850" t="s">
        <v>70</v>
      </c>
      <c r="H5" s="851"/>
      <c r="I5" s="169">
        <f>E5*K5</f>
        <v>10000</v>
      </c>
      <c r="J5" s="490"/>
      <c r="K5" s="263">
        <f>IF($AL$13="Auto",'COM10'!C11,AM17)</f>
        <v>0.4</v>
      </c>
      <c r="L5" s="264">
        <f>IF($AL$13="Auto",'COM10'!C12,AM18)</f>
        <v>0.16</v>
      </c>
      <c r="M5" s="264">
        <f>IF($AL$13="Auto",'COM10'!C13,AM19)</f>
        <v>0.1</v>
      </c>
      <c r="N5" s="264">
        <f>IF($AL$13="Auto",'COM10'!C14,AM20)</f>
        <v>0.05</v>
      </c>
      <c r="O5" s="821">
        <f>IF($AL$13="Auto",'COM10'!C15,AM21)</f>
        <v>0.05</v>
      </c>
      <c r="P5" s="821"/>
      <c r="Q5" s="264">
        <f>IF($AL$13="Auto",'COM10'!C16,AM22)</f>
        <v>0.05</v>
      </c>
      <c r="R5" s="623">
        <f>IF($AL$13="Auto",'COM10'!C17,AM23)</f>
        <v>0.05</v>
      </c>
      <c r="S5" s="877"/>
      <c r="T5" s="878"/>
      <c r="U5" s="490"/>
      <c r="AL5" s="364" t="s">
        <v>361</v>
      </c>
      <c r="AM5" s="634">
        <f>COM!F1</f>
        <v>0.75</v>
      </c>
    </row>
    <row r="6" spans="1:41" ht="20.25" customHeight="1" thickBot="1" x14ac:dyDescent="0.2">
      <c r="A6" s="487"/>
      <c r="B6" s="490"/>
      <c r="C6" s="494"/>
      <c r="D6" s="490"/>
      <c r="E6" s="490"/>
      <c r="F6" s="495"/>
      <c r="G6" s="495"/>
      <c r="H6" s="495"/>
      <c r="I6" s="495"/>
      <c r="J6" s="495"/>
      <c r="K6" s="495"/>
      <c r="L6" s="495"/>
      <c r="M6" s="495"/>
      <c r="N6" s="495"/>
      <c r="O6" s="495"/>
      <c r="P6" s="490"/>
      <c r="Q6" s="490"/>
      <c r="R6" s="496"/>
      <c r="S6" s="490"/>
      <c r="T6" s="490"/>
      <c r="U6" s="490"/>
      <c r="AL6" s="849" t="s">
        <v>71</v>
      </c>
      <c r="AM6" s="879">
        <v>1</v>
      </c>
      <c r="AN6" s="891" t="s">
        <v>32</v>
      </c>
    </row>
    <row r="7" spans="1:41" ht="37.9" customHeight="1" thickBot="1" x14ac:dyDescent="0.2">
      <c r="A7" s="487"/>
      <c r="B7" s="852" t="str">
        <f>"ผลประโยชน์ตัวแทน ( "&amp;AO3&amp;" )"</f>
        <v>ผลประโยชน์ตัวแทน ( 20SLPA )</v>
      </c>
      <c r="C7" s="853"/>
      <c r="D7" s="853"/>
      <c r="E7" s="853"/>
      <c r="F7" s="853"/>
      <c r="G7" s="853"/>
      <c r="H7" s="853"/>
      <c r="I7" s="853"/>
      <c r="J7" s="853"/>
      <c r="K7" s="853"/>
      <c r="L7" s="854"/>
      <c r="M7" s="495"/>
      <c r="N7" s="495"/>
      <c r="O7" s="495"/>
      <c r="P7" s="490"/>
      <c r="Q7" s="490"/>
      <c r="R7" s="496"/>
      <c r="S7" s="490"/>
      <c r="T7" s="490"/>
      <c r="U7" s="490"/>
      <c r="AL7" s="849"/>
      <c r="AM7" s="879"/>
      <c r="AN7" s="891"/>
    </row>
    <row r="8" spans="1:41" ht="36" customHeight="1" x14ac:dyDescent="0.15">
      <c r="A8" s="487"/>
      <c r="B8" s="857" t="s">
        <v>361</v>
      </c>
      <c r="C8" s="858"/>
      <c r="D8" s="861" t="s">
        <v>75</v>
      </c>
      <c r="E8" s="862"/>
      <c r="F8" s="476">
        <v>1</v>
      </c>
      <c r="G8" s="476">
        <v>2</v>
      </c>
      <c r="H8" s="476">
        <v>3</v>
      </c>
      <c r="I8" s="476">
        <v>4</v>
      </c>
      <c r="J8" s="476">
        <v>5</v>
      </c>
      <c r="K8" s="476">
        <v>6</v>
      </c>
      <c r="L8" s="477">
        <v>7</v>
      </c>
      <c r="M8" s="502"/>
      <c r="N8" s="830" t="s">
        <v>10</v>
      </c>
      <c r="O8" s="831"/>
      <c r="P8" s="832"/>
      <c r="Q8" s="871" t="s">
        <v>88</v>
      </c>
      <c r="R8" s="872"/>
      <c r="S8" s="871" t="s">
        <v>90</v>
      </c>
      <c r="T8" s="872"/>
      <c r="U8" s="490"/>
      <c r="X8" s="170"/>
      <c r="AL8" s="601" t="s">
        <v>73</v>
      </c>
      <c r="AM8" s="606">
        <v>10</v>
      </c>
      <c r="AN8" s="594" t="s">
        <v>32</v>
      </c>
    </row>
    <row r="9" spans="1:41" ht="30" customHeight="1" x14ac:dyDescent="0.15">
      <c r="A9" s="487"/>
      <c r="B9" s="859"/>
      <c r="C9" s="860"/>
      <c r="D9" s="827" t="s">
        <v>164</v>
      </c>
      <c r="E9" s="828"/>
      <c r="F9" s="608">
        <f>Q20</f>
        <v>1200000</v>
      </c>
      <c r="G9" s="608">
        <f>Q26+Q28</f>
        <v>1560000</v>
      </c>
      <c r="H9" s="608">
        <f>Q33+Q35+Q36</f>
        <v>1785000</v>
      </c>
      <c r="I9" s="608">
        <f>Q41+Q43+Q44+Q45</f>
        <v>1897500</v>
      </c>
      <c r="J9" s="608">
        <f>Q50+Q52+Q53+Q54</f>
        <v>2010000</v>
      </c>
      <c r="K9" s="608">
        <f>Q59+Q61+Q62+Q63</f>
        <v>2122500</v>
      </c>
      <c r="L9" s="609">
        <f>Q68+Q70+Q71+Q72</f>
        <v>2235000</v>
      </c>
      <c r="M9" s="504"/>
      <c r="N9" s="824" t="s">
        <v>164</v>
      </c>
      <c r="O9" s="825"/>
      <c r="P9" s="826"/>
      <c r="Q9" s="203">
        <f>SUM(F9:J9)</f>
        <v>8452500</v>
      </c>
      <c r="R9" s="869">
        <f>SUM(Q9:Q14)</f>
        <v>12791406.25</v>
      </c>
      <c r="S9" s="203">
        <f>SUM(F9:L9)</f>
        <v>12810000</v>
      </c>
      <c r="T9" s="869">
        <f>SUM(S9:S14)</f>
        <v>19473437.5</v>
      </c>
      <c r="U9" s="490"/>
      <c r="X9" s="170"/>
      <c r="Y9" s="170"/>
      <c r="AL9" s="601" t="s">
        <v>72</v>
      </c>
      <c r="AM9" s="759">
        <v>25000</v>
      </c>
      <c r="AN9" s="594" t="s">
        <v>2</v>
      </c>
    </row>
    <row r="10" spans="1:41" ht="30" customHeight="1" x14ac:dyDescent="0.15">
      <c r="A10" s="487"/>
      <c r="B10" s="844">
        <f>AM5</f>
        <v>0.75</v>
      </c>
      <c r="C10" s="845"/>
      <c r="D10" s="827" t="s">
        <v>287</v>
      </c>
      <c r="E10" s="828"/>
      <c r="F10" s="610">
        <f>S18</f>
        <v>315000</v>
      </c>
      <c r="G10" s="610">
        <f>S25</f>
        <v>315000</v>
      </c>
      <c r="H10" s="610">
        <f>S32</f>
        <v>315000</v>
      </c>
      <c r="I10" s="610">
        <f>S40</f>
        <v>315000</v>
      </c>
      <c r="J10" s="610">
        <f>S49</f>
        <v>315000</v>
      </c>
      <c r="K10" s="610">
        <f>S58</f>
        <v>315000</v>
      </c>
      <c r="L10" s="611">
        <f>S67</f>
        <v>315000</v>
      </c>
      <c r="M10" s="504"/>
      <c r="N10" s="827" t="s">
        <v>287</v>
      </c>
      <c r="O10" s="828"/>
      <c r="P10" s="829"/>
      <c r="Q10" s="196">
        <f>SUM(F10:J10)</f>
        <v>1575000</v>
      </c>
      <c r="R10" s="869"/>
      <c r="S10" s="196">
        <f>SUM(F10:L10)</f>
        <v>2205000</v>
      </c>
      <c r="T10" s="869"/>
      <c r="U10" s="490"/>
      <c r="X10" s="170"/>
      <c r="Y10" s="170"/>
    </row>
    <row r="11" spans="1:41" ht="30" customHeight="1" x14ac:dyDescent="0.15">
      <c r="A11" s="487"/>
      <c r="B11" s="844"/>
      <c r="C11" s="845"/>
      <c r="D11" s="827" t="s">
        <v>288</v>
      </c>
      <c r="E11" s="828"/>
      <c r="F11" s="610">
        <f>S19</f>
        <v>315000</v>
      </c>
      <c r="G11" s="610">
        <f>S26</f>
        <v>315000</v>
      </c>
      <c r="H11" s="610">
        <f>S33</f>
        <v>315000</v>
      </c>
      <c r="I11" s="610">
        <f>S41</f>
        <v>315000</v>
      </c>
      <c r="J11" s="610">
        <f>S50</f>
        <v>315000</v>
      </c>
      <c r="K11" s="610">
        <f>S59</f>
        <v>315000</v>
      </c>
      <c r="L11" s="611">
        <f>S68</f>
        <v>315000</v>
      </c>
      <c r="M11" s="504"/>
      <c r="N11" s="827" t="s">
        <v>288</v>
      </c>
      <c r="O11" s="828"/>
      <c r="P11" s="829"/>
      <c r="Q11" s="196">
        <f t="shared" ref="Q11:Q13" si="0">SUM(F11:J11)</f>
        <v>1575000</v>
      </c>
      <c r="R11" s="869"/>
      <c r="S11" s="196">
        <f t="shared" ref="S11:S13" si="1">SUM(F11:L11)</f>
        <v>2205000</v>
      </c>
      <c r="T11" s="869"/>
      <c r="U11" s="490"/>
      <c r="X11" s="170"/>
      <c r="Y11" s="170"/>
      <c r="AL11" s="886" t="s">
        <v>318</v>
      </c>
      <c r="AM11" s="886"/>
    </row>
    <row r="12" spans="1:41" ht="30" customHeight="1" x14ac:dyDescent="0.15">
      <c r="A12" s="487"/>
      <c r="B12" s="855" t="s">
        <v>274</v>
      </c>
      <c r="C12" s="856"/>
      <c r="D12" s="827" t="s">
        <v>161</v>
      </c>
      <c r="E12" s="828"/>
      <c r="F12" s="612"/>
      <c r="G12" s="612">
        <f>S27</f>
        <v>0</v>
      </c>
      <c r="H12" s="610">
        <f>S34</f>
        <v>202500</v>
      </c>
      <c r="I12" s="610">
        <f>S42</f>
        <v>329062.5</v>
      </c>
      <c r="J12" s="610">
        <f>S51</f>
        <v>392343.75</v>
      </c>
      <c r="K12" s="610">
        <f>S60</f>
        <v>455625</v>
      </c>
      <c r="L12" s="611">
        <f>S69</f>
        <v>518906.25</v>
      </c>
      <c r="M12" s="504"/>
      <c r="N12" s="827" t="s">
        <v>161</v>
      </c>
      <c r="O12" s="828"/>
      <c r="P12" s="829"/>
      <c r="Q12" s="196">
        <f t="shared" si="0"/>
        <v>923906.25</v>
      </c>
      <c r="R12" s="869"/>
      <c r="S12" s="196">
        <f t="shared" si="1"/>
        <v>1898437.5</v>
      </c>
      <c r="T12" s="869"/>
      <c r="U12" s="490"/>
      <c r="X12" s="170"/>
      <c r="Y12" s="170"/>
      <c r="AL12" s="886"/>
      <c r="AM12" s="886"/>
    </row>
    <row r="13" spans="1:41" ht="30" customHeight="1" x14ac:dyDescent="0.15">
      <c r="A13" s="487"/>
      <c r="B13" s="855"/>
      <c r="C13" s="856"/>
      <c r="D13" s="827" t="s">
        <v>286</v>
      </c>
      <c r="E13" s="828"/>
      <c r="F13" s="610">
        <f>S21</f>
        <v>40000</v>
      </c>
      <c r="G13" s="612">
        <f>S28</f>
        <v>0</v>
      </c>
      <c r="H13" s="612">
        <f>S35</f>
        <v>0</v>
      </c>
      <c r="I13" s="612">
        <f>S43</f>
        <v>0</v>
      </c>
      <c r="J13" s="612">
        <f>S52</f>
        <v>0</v>
      </c>
      <c r="K13" s="612">
        <f>S61</f>
        <v>0</v>
      </c>
      <c r="L13" s="613">
        <f>S70</f>
        <v>0</v>
      </c>
      <c r="M13" s="504"/>
      <c r="N13" s="827" t="s">
        <v>286</v>
      </c>
      <c r="O13" s="828"/>
      <c r="P13" s="829"/>
      <c r="Q13" s="196">
        <f t="shared" si="0"/>
        <v>40000</v>
      </c>
      <c r="R13" s="869"/>
      <c r="S13" s="196">
        <f t="shared" si="1"/>
        <v>40000</v>
      </c>
      <c r="T13" s="869"/>
      <c r="U13" s="490"/>
      <c r="X13" s="170"/>
      <c r="Y13" s="170"/>
      <c r="AL13" s="880" t="s">
        <v>182</v>
      </c>
      <c r="AM13" s="881"/>
    </row>
    <row r="14" spans="1:41" ht="30" customHeight="1" thickBot="1" x14ac:dyDescent="0.2">
      <c r="A14" s="487"/>
      <c r="B14" s="844">
        <f>IF($AL$13="Auto",'COM10'!K3,AM30)</f>
        <v>0.75</v>
      </c>
      <c r="C14" s="845"/>
      <c r="D14" s="836" t="s">
        <v>285</v>
      </c>
      <c r="E14" s="837"/>
      <c r="F14" s="614">
        <f>S22</f>
        <v>45000</v>
      </c>
      <c r="G14" s="610">
        <f>S29</f>
        <v>45000</v>
      </c>
      <c r="H14" s="610">
        <f>S36</f>
        <v>45000</v>
      </c>
      <c r="I14" s="610">
        <f>S44</f>
        <v>45000</v>
      </c>
      <c r="J14" s="610">
        <f>S53</f>
        <v>45000</v>
      </c>
      <c r="K14" s="610">
        <f>S62</f>
        <v>45000</v>
      </c>
      <c r="L14" s="611">
        <f>S71</f>
        <v>45000</v>
      </c>
      <c r="M14" s="504"/>
      <c r="N14" s="866" t="s">
        <v>285</v>
      </c>
      <c r="O14" s="867"/>
      <c r="P14" s="868"/>
      <c r="Q14" s="197">
        <f>SUM(F14:J14)</f>
        <v>225000</v>
      </c>
      <c r="R14" s="870"/>
      <c r="S14" s="197">
        <f>SUM(F14:L14)</f>
        <v>315000</v>
      </c>
      <c r="T14" s="870"/>
      <c r="U14" s="490"/>
      <c r="X14" s="170"/>
      <c r="Y14" s="170"/>
      <c r="AL14" s="882"/>
      <c r="AM14" s="883"/>
    </row>
    <row r="15" spans="1:41" ht="36" customHeight="1" x14ac:dyDescent="0.15">
      <c r="A15" s="487"/>
      <c r="B15" s="506"/>
      <c r="C15" s="507"/>
      <c r="D15" s="840" t="s">
        <v>61</v>
      </c>
      <c r="E15" s="841"/>
      <c r="F15" s="615">
        <f t="shared" ref="F15:L15" si="2">SUM(F9:F14)</f>
        <v>1915000</v>
      </c>
      <c r="G15" s="615">
        <f t="shared" si="2"/>
        <v>2235000</v>
      </c>
      <c r="H15" s="615">
        <f t="shared" si="2"/>
        <v>2662500</v>
      </c>
      <c r="I15" s="615">
        <f t="shared" si="2"/>
        <v>2901562.5</v>
      </c>
      <c r="J15" s="615">
        <f t="shared" si="2"/>
        <v>3077343.75</v>
      </c>
      <c r="K15" s="615">
        <f t="shared" si="2"/>
        <v>3253125</v>
      </c>
      <c r="L15" s="616">
        <f t="shared" si="2"/>
        <v>3428906.25</v>
      </c>
      <c r="M15" s="504"/>
      <c r="N15" s="497"/>
      <c r="O15" s="497"/>
      <c r="P15" s="497"/>
      <c r="Q15" s="497"/>
      <c r="R15" s="505"/>
      <c r="S15" s="497"/>
      <c r="T15" s="497"/>
      <c r="U15" s="490"/>
      <c r="X15" s="170"/>
      <c r="Y15" s="170"/>
      <c r="AL15" s="885" t="s">
        <v>321</v>
      </c>
      <c r="AM15" s="884" t="s">
        <v>354</v>
      </c>
    </row>
    <row r="16" spans="1:41" ht="36" customHeight="1" thickBot="1" x14ac:dyDescent="0.2">
      <c r="A16" s="487"/>
      <c r="B16" s="508"/>
      <c r="C16" s="509"/>
      <c r="D16" s="842" t="s">
        <v>91</v>
      </c>
      <c r="E16" s="843"/>
      <c r="F16" s="617">
        <f>F15/12</f>
        <v>159583.33333333334</v>
      </c>
      <c r="G16" s="617">
        <f t="shared" ref="G16:L16" si="3">G15/12</f>
        <v>186250</v>
      </c>
      <c r="H16" s="617">
        <f t="shared" si="3"/>
        <v>221875</v>
      </c>
      <c r="I16" s="617">
        <f t="shared" si="3"/>
        <v>241796.875</v>
      </c>
      <c r="J16" s="617">
        <f t="shared" si="3"/>
        <v>256445.3125</v>
      </c>
      <c r="K16" s="617">
        <f t="shared" si="3"/>
        <v>271093.75</v>
      </c>
      <c r="L16" s="618">
        <f t="shared" si="3"/>
        <v>285742.1875</v>
      </c>
      <c r="M16" s="504"/>
      <c r="N16" s="490"/>
      <c r="O16" s="490"/>
      <c r="P16" s="490"/>
      <c r="Q16" s="490"/>
      <c r="R16" s="496"/>
      <c r="S16" s="490"/>
      <c r="T16" s="490"/>
      <c r="U16" s="490"/>
      <c r="X16" s="170"/>
      <c r="AL16" s="885"/>
      <c r="AM16" s="884"/>
    </row>
    <row r="17" spans="1:39" ht="22.9" customHeight="1" thickBot="1" x14ac:dyDescent="0.2">
      <c r="A17" s="487"/>
      <c r="B17" s="490"/>
      <c r="C17" s="494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490"/>
      <c r="P17" s="490"/>
      <c r="Q17" s="502"/>
      <c r="R17" s="503"/>
      <c r="S17" s="502"/>
      <c r="T17" s="490"/>
      <c r="U17" s="490"/>
      <c r="Y17" s="179">
        <v>1</v>
      </c>
      <c r="Z17" s="179">
        <v>2</v>
      </c>
      <c r="AA17" s="179">
        <v>3</v>
      </c>
      <c r="AB17" s="179">
        <v>4</v>
      </c>
      <c r="AC17" s="179">
        <v>5</v>
      </c>
      <c r="AD17" s="179">
        <v>6</v>
      </c>
      <c r="AE17" s="179">
        <v>7</v>
      </c>
      <c r="AF17" s="179">
        <v>8</v>
      </c>
      <c r="AG17" s="179">
        <v>9</v>
      </c>
      <c r="AH17" s="179">
        <v>10</v>
      </c>
      <c r="AI17" s="179">
        <v>11</v>
      </c>
      <c r="AJ17" s="179">
        <v>12</v>
      </c>
      <c r="AL17" s="364" t="s">
        <v>151</v>
      </c>
      <c r="AM17" s="598">
        <v>0.3</v>
      </c>
    </row>
    <row r="18" spans="1:39" ht="34.15" customHeight="1" thickBot="1" x14ac:dyDescent="0.2">
      <c r="A18" s="487"/>
      <c r="B18" s="481" t="s">
        <v>12</v>
      </c>
      <c r="C18" s="472" t="s">
        <v>76</v>
      </c>
      <c r="D18" s="478">
        <v>1</v>
      </c>
      <c r="E18" s="478">
        <v>2</v>
      </c>
      <c r="F18" s="478">
        <v>3</v>
      </c>
      <c r="G18" s="478">
        <v>4</v>
      </c>
      <c r="H18" s="478">
        <v>5</v>
      </c>
      <c r="I18" s="478">
        <v>6</v>
      </c>
      <c r="J18" s="478">
        <v>7</v>
      </c>
      <c r="K18" s="478">
        <v>8</v>
      </c>
      <c r="L18" s="478">
        <v>9</v>
      </c>
      <c r="M18" s="478">
        <v>10</v>
      </c>
      <c r="N18" s="478">
        <v>11</v>
      </c>
      <c r="O18" s="479">
        <v>12</v>
      </c>
      <c r="P18" s="498"/>
      <c r="Q18" s="502"/>
      <c r="R18" s="503"/>
      <c r="S18" s="178">
        <f>IF(AND($AL$13="Manual",AM25="OFF"),0,SUM(Y18:AJ18))</f>
        <v>315000</v>
      </c>
      <c r="T18" s="483" t="s">
        <v>287</v>
      </c>
      <c r="U18" s="490"/>
      <c r="X18" s="179" t="s">
        <v>152</v>
      </c>
      <c r="Y18" s="180">
        <f>IF($B$14&lt;70%,0,
IF(D20*$AM$5&gt;64000,"35%",
IF(AND(D20*$AM$5&gt;32000,D20*$AM$5&lt;=64000),"30%",
IF(AND(D20*$AM$5&gt;16000,D20*$AM$5&lt;=32000),"25%",
IF(AND(D20*$AM$5&gt;8000,D20*$AM$5&lt;=16000),"20%",
0)))))*D20*$AM$5</f>
        <v>26250</v>
      </c>
      <c r="Z18" s="180">
        <f>IF($B$14&lt;70%,0,
IF(E20*$AM$5&gt;64000,"35%",
IF(AND(E20*$AM$5&gt;32000,E20*$AM$5&lt;=64000),"30%",
IF(AND(E20*$AM$5&gt;16000,E20*$AM$5&lt;=32000),"25%",
IF(AND(E20*$AM$5&gt;8000,E20*$AM$5&lt;=16000),"20%",
0)))))*E20*$AM$5</f>
        <v>26250</v>
      </c>
      <c r="AA18" s="180">
        <f t="shared" ref="AA18:AJ18" si="4">IF($B$14&lt;70%,0,
IF(F20*$AM$5&gt;64000,"35%",
IF(AND(F20*$AM$5&gt;32000,F20*$AM$5&lt;=64000),"30%",
IF(AND(F20*$AM$5&gt;16000,F20*$AM$5&lt;=32000),"25%",
IF(AND(F20*$AM$5&gt;8000,F20*$AM$5&lt;=16000),"20%",
0)))))*F20*$AM$5</f>
        <v>26250</v>
      </c>
      <c r="AB18" s="180">
        <f t="shared" si="4"/>
        <v>26250</v>
      </c>
      <c r="AC18" s="180">
        <f t="shared" si="4"/>
        <v>26250</v>
      </c>
      <c r="AD18" s="180">
        <f t="shared" si="4"/>
        <v>26250</v>
      </c>
      <c r="AE18" s="180">
        <f t="shared" si="4"/>
        <v>26250</v>
      </c>
      <c r="AF18" s="180">
        <f t="shared" si="4"/>
        <v>26250</v>
      </c>
      <c r="AG18" s="180">
        <f t="shared" si="4"/>
        <v>26250</v>
      </c>
      <c r="AH18" s="180">
        <f t="shared" si="4"/>
        <v>26250</v>
      </c>
      <c r="AI18" s="180">
        <f t="shared" si="4"/>
        <v>26250</v>
      </c>
      <c r="AJ18" s="180">
        <f t="shared" si="4"/>
        <v>26250</v>
      </c>
      <c r="AL18" s="364" t="s">
        <v>57</v>
      </c>
      <c r="AM18" s="598">
        <v>0.15</v>
      </c>
    </row>
    <row r="19" spans="1:39" ht="34.15" customHeight="1" thickBot="1" x14ac:dyDescent="0.2">
      <c r="A19" s="487"/>
      <c r="B19" s="838">
        <v>1</v>
      </c>
      <c r="C19" s="513" t="s">
        <v>32</v>
      </c>
      <c r="D19" s="181">
        <f t="shared" ref="D19:O19" si="5">$I$3</f>
        <v>10</v>
      </c>
      <c r="E19" s="181">
        <f t="shared" si="5"/>
        <v>10</v>
      </c>
      <c r="F19" s="181">
        <f t="shared" si="5"/>
        <v>10</v>
      </c>
      <c r="G19" s="181">
        <f t="shared" si="5"/>
        <v>10</v>
      </c>
      <c r="H19" s="181">
        <f t="shared" si="5"/>
        <v>10</v>
      </c>
      <c r="I19" s="181">
        <f t="shared" si="5"/>
        <v>10</v>
      </c>
      <c r="J19" s="181">
        <f t="shared" si="5"/>
        <v>10</v>
      </c>
      <c r="K19" s="181">
        <f t="shared" si="5"/>
        <v>10</v>
      </c>
      <c r="L19" s="181">
        <f t="shared" si="5"/>
        <v>10</v>
      </c>
      <c r="M19" s="181">
        <f t="shared" si="5"/>
        <v>10</v>
      </c>
      <c r="N19" s="181">
        <f t="shared" si="5"/>
        <v>10</v>
      </c>
      <c r="O19" s="182">
        <f t="shared" si="5"/>
        <v>10</v>
      </c>
      <c r="P19" s="499"/>
      <c r="Q19" s="178">
        <f>SUM(D19:O19)</f>
        <v>120</v>
      </c>
      <c r="R19" s="198" t="s">
        <v>32</v>
      </c>
      <c r="S19" s="183">
        <f>IF(AND($AL$13="Manual",AM26="OFF"),0,SUM(Y19:Z19))</f>
        <v>315000</v>
      </c>
      <c r="T19" s="484" t="s">
        <v>288</v>
      </c>
      <c r="U19" s="490"/>
      <c r="X19" s="179" t="s">
        <v>242</v>
      </c>
      <c r="Y19" s="180">
        <f>IF(SUM(D20:I20)*$AM$5&gt;400000,"35%",
IF(AND(SUM(D20:I20)*$AM$5&gt;300000,SUM(D20:I20)*$AM$5&lt;=400000),"32.5%",
IF(AND(SUM(D20:I20)*$AM$5&gt;250000,SUM(D20:I20)*$AM$5&lt;=300000),"30%",
IF(AND(SUM(D20:I20)*$AM$5&gt;200000,SUM(D20:I20)*$AM$5&lt;=250000),"27.5%",
IF(AND(SUM(D20:I20)*$AM$5&gt;150000,SUM(D20:I20)*$AM$5&lt;=200000),"25%",
IF(AND(SUM(D20:I20)*$AM$5&gt;100000,SUM(D20:I20)*$AM$5&lt;=150000),"22.5%",
IF(AND(SUM(D20:I20)*$AM$5&gt;60000,SUM(D20:I20)*$AM$5&lt;=100000),"20%",
IF(AND(SUM(D20:I20)*$AM$5&gt;40000,SUM(D20:I20)*$AM$5&lt;=60000),"17.5%",
1))))))))*SUM(D20:I20)*$AM$5</f>
        <v>157500</v>
      </c>
      <c r="Z19" s="511">
        <f>IF(SUM(J20:O20)*$AM$5&gt;400000,"35%",
IF(AND(SUM(J20:O20)*$AM$5&gt;300000,SUM(J20:O20)*$AM$5&lt;=400000),"32.5%",
IF(AND(SUM(J20:O20)*$AM$5&gt;250000,SUM(J20:O20)*$AM$5&lt;=300000),"30%",
IF(AND(SUM(J20:O20)*$AM$5&gt;200000,SUM(J20:O20)*$AM$5&lt;=250000),"27.5%",
IF(AND(SUM(J20:O20)*$AM$5&gt;150000,SUM(J20:O20)*$AM$5&lt;=200000),"25%",
IF(AND(SUM(J20:O20)*$AM$5&gt;100000,SUM(J20:O20)*$AM$5&lt;=150000),"22.5%",
IF(AND(SUM(J20:O20)*$AM$5&gt;60000,SUM(J20:O20)*$AM$5&lt;=100000),"20%",
IF(AND(SUM(J20:O20)*$AM$5&gt;40000,SUM(J20:O20)*$AM$5&lt;=60000),"17.5%",
1))))))))*SUM(J20:O20)*$AM$5</f>
        <v>157500</v>
      </c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L19" s="364" t="s">
        <v>58</v>
      </c>
      <c r="AM19" s="598">
        <v>0.1</v>
      </c>
    </row>
    <row r="20" spans="1:39" ht="34.15" customHeight="1" thickBot="1" x14ac:dyDescent="0.2">
      <c r="A20" s="487"/>
      <c r="B20" s="839"/>
      <c r="C20" s="514" t="s">
        <v>9</v>
      </c>
      <c r="D20" s="173">
        <f>$E$5*$I$3*$K$5</f>
        <v>100000</v>
      </c>
      <c r="E20" s="173">
        <f>IF($S$1=1,$E$5*$I$3*$K$5,$E$5*$I$3*$K$5*E18)</f>
        <v>100000</v>
      </c>
      <c r="F20" s="173">
        <f t="shared" ref="F20:O20" si="6">IF($S$1=1,$E$5*$I$3*$K$5,$E$5*$I$3*$K$5*F18)</f>
        <v>100000</v>
      </c>
      <c r="G20" s="173">
        <f t="shared" si="6"/>
        <v>100000</v>
      </c>
      <c r="H20" s="173">
        <f t="shared" si="6"/>
        <v>100000</v>
      </c>
      <c r="I20" s="173">
        <f t="shared" si="6"/>
        <v>100000</v>
      </c>
      <c r="J20" s="173">
        <f t="shared" si="6"/>
        <v>100000</v>
      </c>
      <c r="K20" s="173">
        <f t="shared" si="6"/>
        <v>100000</v>
      </c>
      <c r="L20" s="173">
        <f t="shared" si="6"/>
        <v>100000</v>
      </c>
      <c r="M20" s="173">
        <f t="shared" si="6"/>
        <v>100000</v>
      </c>
      <c r="N20" s="173">
        <f t="shared" si="6"/>
        <v>100000</v>
      </c>
      <c r="O20" s="174">
        <f t="shared" si="6"/>
        <v>100000</v>
      </c>
      <c r="P20" s="499"/>
      <c r="Q20" s="183">
        <f>SUM(D20:O20)</f>
        <v>1200000</v>
      </c>
      <c r="R20" s="199" t="s">
        <v>77</v>
      </c>
      <c r="S20" s="184">
        <f>IF(AND($AL$13="Manual",AM27="OFF"),0,Y21)</f>
        <v>0</v>
      </c>
      <c r="T20" s="484" t="s">
        <v>161</v>
      </c>
      <c r="U20" s="490"/>
      <c r="X20" s="179" t="s">
        <v>155</v>
      </c>
      <c r="Y20" s="180">
        <f>IF(SUM(D20:O20)*$AM$5*10%&gt;100000,100000,SUM(D20:O20)*$AM$5*10%)</f>
        <v>90000</v>
      </c>
      <c r="AA20" s="170"/>
      <c r="AB20" s="170"/>
      <c r="AC20" s="170"/>
      <c r="AL20" s="364" t="s">
        <v>59</v>
      </c>
      <c r="AM20" s="598">
        <v>0.05</v>
      </c>
    </row>
    <row r="21" spans="1:39" ht="34.15" customHeight="1" thickBot="1" x14ac:dyDescent="0.2">
      <c r="A21" s="487"/>
      <c r="B21" s="839"/>
      <c r="C21" s="515" t="s">
        <v>3</v>
      </c>
      <c r="D21" s="185">
        <f>$E$5*$I$3</f>
        <v>250000</v>
      </c>
      <c r="E21" s="185">
        <f t="shared" ref="E21:O21" si="7">IF($S$1=1,$E$5*$I$3,$E$5*$I$3*E18)</f>
        <v>250000</v>
      </c>
      <c r="F21" s="185">
        <f t="shared" si="7"/>
        <v>250000</v>
      </c>
      <c r="G21" s="185">
        <f t="shared" si="7"/>
        <v>250000</v>
      </c>
      <c r="H21" s="185">
        <f t="shared" si="7"/>
        <v>250000</v>
      </c>
      <c r="I21" s="185">
        <f t="shared" si="7"/>
        <v>250000</v>
      </c>
      <c r="J21" s="185">
        <f t="shared" si="7"/>
        <v>250000</v>
      </c>
      <c r="K21" s="185">
        <f>IF($S$1=1,$E$5*$I$3,$E$5*$I$3*K18)</f>
        <v>250000</v>
      </c>
      <c r="L21" s="185">
        <f t="shared" si="7"/>
        <v>250000</v>
      </c>
      <c r="M21" s="185">
        <f t="shared" si="7"/>
        <v>250000</v>
      </c>
      <c r="N21" s="185">
        <f t="shared" si="7"/>
        <v>250000</v>
      </c>
      <c r="O21" s="186">
        <f t="shared" si="7"/>
        <v>250000</v>
      </c>
      <c r="P21" s="499"/>
      <c r="Q21" s="187">
        <f>SUM(D21:O21)</f>
        <v>3000000</v>
      </c>
      <c r="R21" s="200" t="s">
        <v>78</v>
      </c>
      <c r="S21" s="518">
        <f>IF(AND($AL$13="Manual",AM28="OFF"),0,Y22)</f>
        <v>40000</v>
      </c>
      <c r="T21" s="484" t="s">
        <v>286</v>
      </c>
      <c r="U21" s="490"/>
      <c r="X21" s="179" t="s">
        <v>153</v>
      </c>
      <c r="Y21" s="512"/>
      <c r="AA21" s="170"/>
      <c r="AB21" s="170"/>
      <c r="AC21" s="170"/>
      <c r="AL21" s="364" t="s">
        <v>60</v>
      </c>
      <c r="AM21" s="598">
        <v>0.05</v>
      </c>
    </row>
    <row r="22" spans="1:39" ht="34.15" customHeight="1" thickBot="1" x14ac:dyDescent="0.2">
      <c r="A22" s="487"/>
      <c r="B22" s="490"/>
      <c r="C22" s="495"/>
      <c r="D22" s="502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2"/>
      <c r="P22" s="490"/>
      <c r="Q22" s="490"/>
      <c r="R22" s="496"/>
      <c r="S22" s="187">
        <f>IF(AND($AL$13="Manual",AM29="OFF"),0,Y23)</f>
        <v>45000</v>
      </c>
      <c r="T22" s="485" t="s">
        <v>285</v>
      </c>
      <c r="U22" s="490"/>
      <c r="X22" s="179" t="s">
        <v>243</v>
      </c>
      <c r="Y22" s="180">
        <f>IF(AND(SUM(D19:F19)&gt;=5,SUM(D20:F20)*$AM$5&gt;=50000),15000,IF(AND(SUM(D19:F19),SUM(D20:F20)*$AM$5&gt;=20000),6000,0))+IF(AND(SUM(G19:I19)&gt;=10,SUM(G20:I20)*$AM$5&gt;=100000),25000,IF(AND(SUM(G19:I19)&gt;=5,SUM(G20:I20)*$AM$5&gt;=40000),10000,0))</f>
        <v>40000</v>
      </c>
      <c r="AA22" s="170"/>
      <c r="AB22" s="170"/>
      <c r="AC22" s="170"/>
      <c r="AL22" s="364" t="s">
        <v>99</v>
      </c>
      <c r="AM22" s="598">
        <v>0.05</v>
      </c>
    </row>
    <row r="23" spans="1:39" ht="12" customHeight="1" thickBot="1" x14ac:dyDescent="0.2">
      <c r="A23" s="487"/>
      <c r="B23" s="490"/>
      <c r="C23" s="495"/>
      <c r="D23" s="502"/>
      <c r="E23" s="502"/>
      <c r="F23" s="502"/>
      <c r="G23" s="502"/>
      <c r="H23" s="502"/>
      <c r="I23" s="502"/>
      <c r="J23" s="502"/>
      <c r="K23" s="502"/>
      <c r="L23" s="502"/>
      <c r="M23" s="502"/>
      <c r="N23" s="502"/>
      <c r="O23" s="502"/>
      <c r="P23" s="490"/>
      <c r="Q23" s="490"/>
      <c r="R23" s="496"/>
      <c r="S23" s="496"/>
      <c r="T23" s="496"/>
      <c r="U23" s="490"/>
      <c r="X23" s="179" t="s">
        <v>244</v>
      </c>
      <c r="Y23" s="180">
        <f>SUM(D20:O20)*$AM$5*5%</f>
        <v>45000</v>
      </c>
      <c r="AA23" s="170"/>
      <c r="AB23" s="170"/>
      <c r="AC23" s="170"/>
      <c r="AL23" s="887" t="s">
        <v>156</v>
      </c>
      <c r="AM23" s="889">
        <v>0.05</v>
      </c>
    </row>
    <row r="24" spans="1:39" ht="34.15" customHeight="1" thickBot="1" x14ac:dyDescent="0.2">
      <c r="A24" s="487"/>
      <c r="B24" s="482" t="s">
        <v>12</v>
      </c>
      <c r="C24" s="473" t="s">
        <v>76</v>
      </c>
      <c r="D24" s="478">
        <v>13</v>
      </c>
      <c r="E24" s="478">
        <v>14</v>
      </c>
      <c r="F24" s="478">
        <v>15</v>
      </c>
      <c r="G24" s="478">
        <v>16</v>
      </c>
      <c r="H24" s="478">
        <v>17</v>
      </c>
      <c r="I24" s="478">
        <v>18</v>
      </c>
      <c r="J24" s="478">
        <v>19</v>
      </c>
      <c r="K24" s="478">
        <v>20</v>
      </c>
      <c r="L24" s="478">
        <v>21</v>
      </c>
      <c r="M24" s="478">
        <v>22</v>
      </c>
      <c r="N24" s="478">
        <v>23</v>
      </c>
      <c r="O24" s="479">
        <v>24</v>
      </c>
      <c r="P24" s="490"/>
      <c r="Q24" s="490"/>
      <c r="R24" s="496"/>
      <c r="S24" s="496"/>
      <c r="T24" s="496"/>
      <c r="U24" s="490"/>
      <c r="AL24" s="887"/>
      <c r="AM24" s="889"/>
    </row>
    <row r="25" spans="1:39" ht="34.15" customHeight="1" x14ac:dyDescent="0.15">
      <c r="A25" s="487"/>
      <c r="B25" s="833">
        <v>2</v>
      </c>
      <c r="C25" s="516" t="s">
        <v>32</v>
      </c>
      <c r="D25" s="171">
        <f t="shared" ref="D25:O25" si="8">$I$3</f>
        <v>10</v>
      </c>
      <c r="E25" s="171">
        <f t="shared" si="8"/>
        <v>10</v>
      </c>
      <c r="F25" s="171">
        <f t="shared" si="8"/>
        <v>10</v>
      </c>
      <c r="G25" s="171">
        <f t="shared" si="8"/>
        <v>10</v>
      </c>
      <c r="H25" s="171">
        <f t="shared" si="8"/>
        <v>10</v>
      </c>
      <c r="I25" s="171">
        <f t="shared" si="8"/>
        <v>10</v>
      </c>
      <c r="J25" s="171">
        <f t="shared" si="8"/>
        <v>10</v>
      </c>
      <c r="K25" s="171">
        <f t="shared" si="8"/>
        <v>10</v>
      </c>
      <c r="L25" s="171">
        <f t="shared" si="8"/>
        <v>10</v>
      </c>
      <c r="M25" s="171">
        <f t="shared" si="8"/>
        <v>10</v>
      </c>
      <c r="N25" s="171">
        <f t="shared" si="8"/>
        <v>10</v>
      </c>
      <c r="O25" s="172">
        <f t="shared" si="8"/>
        <v>10</v>
      </c>
      <c r="P25" s="500"/>
      <c r="Q25" s="178">
        <f>SUM(D25:O25)</f>
        <v>120</v>
      </c>
      <c r="R25" s="198" t="s">
        <v>32</v>
      </c>
      <c r="S25" s="178">
        <f>IF(AND($AL$13="Manual",AM25="OFF"),0,SUM(Y25:AJ25))</f>
        <v>315000</v>
      </c>
      <c r="T25" s="483" t="s">
        <v>287</v>
      </c>
      <c r="U25" s="490"/>
      <c r="X25" s="179" t="s">
        <v>152</v>
      </c>
      <c r="Y25" s="180">
        <f>IF($B$14&lt;70%,0,
IF(D26*$AM$5&gt;64000,"35%",
IF(AND(D26*$AM$5&gt;32000,D26*$AM$5&lt;=64000),"30%",
IF(AND(D26*$AM$5&gt;16000,D26*$AM$5&lt;=32000),"25%",
IF(AND(D26*$AM$5&gt;8000,D26*$AM$5&lt;=16000),"20%",
0)))))*D26*$AM$5</f>
        <v>26250</v>
      </c>
      <c r="Z25" s="180">
        <f t="shared" ref="Z25:AJ25" si="9">IF($B$14&lt;70%,0,
IF(E26*$AM$5&gt;64000,"35%",
IF(AND(E26*$AM$5&gt;32000,E26*$AM$5&lt;=64000),"30%",
IF(AND(E26*$AM$5&gt;16000,E26*$AM$5&lt;=32000),"25%",
IF(AND(E26*$AM$5&gt;8000,E26*$AM$5&lt;=16000),"20%",
0)))))*E26*$AM$5</f>
        <v>26250</v>
      </c>
      <c r="AA25" s="180">
        <f t="shared" si="9"/>
        <v>26250</v>
      </c>
      <c r="AB25" s="180">
        <f t="shared" si="9"/>
        <v>26250</v>
      </c>
      <c r="AC25" s="180">
        <f t="shared" si="9"/>
        <v>26250</v>
      </c>
      <c r="AD25" s="180">
        <f t="shared" si="9"/>
        <v>26250</v>
      </c>
      <c r="AE25" s="180">
        <f t="shared" si="9"/>
        <v>26250</v>
      </c>
      <c r="AF25" s="180">
        <f t="shared" si="9"/>
        <v>26250</v>
      </c>
      <c r="AG25" s="180">
        <f t="shared" si="9"/>
        <v>26250</v>
      </c>
      <c r="AH25" s="180">
        <f t="shared" si="9"/>
        <v>26250</v>
      </c>
      <c r="AI25" s="180">
        <f t="shared" si="9"/>
        <v>26250</v>
      </c>
      <c r="AJ25" s="180">
        <f t="shared" si="9"/>
        <v>26250</v>
      </c>
      <c r="AL25" s="364" t="s">
        <v>152</v>
      </c>
      <c r="AM25" s="597" t="s">
        <v>312</v>
      </c>
    </row>
    <row r="26" spans="1:39" ht="34.15" customHeight="1" x14ac:dyDescent="0.15">
      <c r="A26" s="487"/>
      <c r="B26" s="834"/>
      <c r="C26" s="516" t="s">
        <v>9</v>
      </c>
      <c r="D26" s="173">
        <f>IF($S$1=1,$E$5*$I$3*$K$5,$E$5*$I$3*$K$5*$O$18)</f>
        <v>100000</v>
      </c>
      <c r="E26" s="173">
        <f t="shared" ref="E26:O26" si="10">IF($S$1=1,$E$5*$I$3*$K$5,$E$5*$I$3*$K$5*$O$18)</f>
        <v>100000</v>
      </c>
      <c r="F26" s="173">
        <f t="shared" si="10"/>
        <v>100000</v>
      </c>
      <c r="G26" s="173">
        <f t="shared" si="10"/>
        <v>100000</v>
      </c>
      <c r="H26" s="173">
        <f t="shared" si="10"/>
        <v>100000</v>
      </c>
      <c r="I26" s="173">
        <f t="shared" si="10"/>
        <v>100000</v>
      </c>
      <c r="J26" s="173">
        <f t="shared" si="10"/>
        <v>100000</v>
      </c>
      <c r="K26" s="173">
        <f t="shared" si="10"/>
        <v>100000</v>
      </c>
      <c r="L26" s="173">
        <f t="shared" si="10"/>
        <v>100000</v>
      </c>
      <c r="M26" s="173">
        <f t="shared" si="10"/>
        <v>100000</v>
      </c>
      <c r="N26" s="173">
        <f t="shared" si="10"/>
        <v>100000</v>
      </c>
      <c r="O26" s="174">
        <f t="shared" si="10"/>
        <v>100000</v>
      </c>
      <c r="P26" s="500"/>
      <c r="Q26" s="183">
        <f>SUM(D26:O26)</f>
        <v>1200000</v>
      </c>
      <c r="R26" s="199" t="s">
        <v>77</v>
      </c>
      <c r="S26" s="183">
        <f>IF(AND($AL$13="Manual",AM26="OFF"),0,SUM(Y26:Z26))</f>
        <v>315000</v>
      </c>
      <c r="T26" s="484" t="s">
        <v>288</v>
      </c>
      <c r="U26" s="490"/>
      <c r="X26" s="179" t="s">
        <v>242</v>
      </c>
      <c r="Y26" s="180">
        <f>IF(SUM(D26:I26)*$AM$5&gt;400000,"35%",
IF(AND(SUM(D26:I26)*$AM$5&gt;300000,SUM(D26:I26)*$AM$5&lt;=400000),"32.5%",
IF(AND(SUM(D26:I26)*$AM$5&gt;250000,SUM(D26:I26)*$AM$5&lt;=300000),"30%",
IF(AND(SUM(D26:I26)*$AM$5&gt;200000,SUM(D26:I26)*$AM$5&lt;=250000),"27.5%",
IF(AND(SUM(D26:I26)*$AM$5&gt;150000,SUM(D26:I26)*$AM$5&lt;=200000),"25%",
IF(AND(SUM(D26:I26)*$AM$5&gt;100000,SUM(D26:I26)*$AM$5&lt;=150000),"22.5%",
IF(AND(SUM(D26:I26)*$AM$5&gt;60000,SUM(D26:I26)*$AM$5&lt;=100000),"20%",
IF(AND(SUM(D26:I26)*$AM$5&gt;40000,SUM(D26:I26)*$AM$5&lt;=60000),"17.5%",
1))))))))*(IF($B$14&lt;70%,0%,IF(AND($B$14&gt;=70%,$B$14&lt;85%),100%,IF($B$14&gt;=85%,110%,))))*SUM(D26:I26)*$AM$5</f>
        <v>157500</v>
      </c>
      <c r="Z26" s="511">
        <f>IF(SUM(J26:O26)*$AM$5&gt;400000,"35%",
IF(AND(SUM(J26:O26)*$AM$5&gt;300000,SUM(J26:O26)*$AM$5&lt;=400000),"32.5%",
IF(AND(SUM(J26:O26)*$AM$5&gt;250000,SUM(J26:O26)*$AM$5&lt;=300000),"30%",
IF(AND(SUM(J26:O26)*$AM$5&gt;200000,SUM(J26:O26)*$AM$5&lt;=250000),"27.5%",
IF(AND(SUM(J26:O26)*$AM$5&gt;150000,SUM(J26:O26)*$AM$5&lt;=200000),"25%",
IF(AND(SUM(J26:O26)*$AM$5&gt;100000,SUM(J26:O26)*$AM$5&lt;=150000),"22.5%",
IF(AND(SUM(J26:O26)*$AM$5&gt;60000,SUM(J26:O26)*$AM$5&lt;=100000),"20%",
IF(AND(SUM(J26:O26)*$AM$5&gt;40000,SUM(J26:O26)*$AM$5&lt;=60000),"17.5%",
1))))))))*(IF($B$14&lt;70%,0%,IF(AND($B$14&gt;=70%,$B$14&lt;85%),100%,IF($B$14&gt;=85%,110%,))))*SUM(J26:O26)*$AM$5</f>
        <v>157500</v>
      </c>
      <c r="AA26" s="510"/>
      <c r="AB26" s="510"/>
      <c r="AC26" s="510"/>
      <c r="AD26" s="510"/>
      <c r="AE26" s="510"/>
      <c r="AF26" s="510"/>
      <c r="AG26" s="510"/>
      <c r="AH26" s="510"/>
      <c r="AI26" s="510"/>
      <c r="AJ26" s="510"/>
      <c r="AL26" s="364" t="s">
        <v>242</v>
      </c>
      <c r="AM26" s="597" t="s">
        <v>312</v>
      </c>
    </row>
    <row r="27" spans="1:39" ht="34.15" customHeight="1" x14ac:dyDescent="0.15">
      <c r="A27" s="487"/>
      <c r="B27" s="834"/>
      <c r="C27" s="516" t="s">
        <v>3</v>
      </c>
      <c r="D27" s="173">
        <f>IF($S$1=1,$E$5*$I$3,$E$5*$I$3*$O$18)</f>
        <v>250000</v>
      </c>
      <c r="E27" s="173">
        <f t="shared" ref="E27:O27" si="11">IF($S$1=1,$E$5*$I$3,$E$5*$I$3*$O$18)</f>
        <v>250000</v>
      </c>
      <c r="F27" s="173">
        <f t="shared" si="11"/>
        <v>250000</v>
      </c>
      <c r="G27" s="173">
        <f t="shared" si="11"/>
        <v>250000</v>
      </c>
      <c r="H27" s="173">
        <f t="shared" si="11"/>
        <v>250000</v>
      </c>
      <c r="I27" s="173">
        <f t="shared" si="11"/>
        <v>250000</v>
      </c>
      <c r="J27" s="173">
        <f t="shared" si="11"/>
        <v>250000</v>
      </c>
      <c r="K27" s="173">
        <f t="shared" si="11"/>
        <v>250000</v>
      </c>
      <c r="L27" s="173">
        <f t="shared" si="11"/>
        <v>250000</v>
      </c>
      <c r="M27" s="173">
        <f t="shared" si="11"/>
        <v>250000</v>
      </c>
      <c r="N27" s="173">
        <f t="shared" si="11"/>
        <v>250000</v>
      </c>
      <c r="O27" s="174">
        <f t="shared" si="11"/>
        <v>250000</v>
      </c>
      <c r="P27" s="500"/>
      <c r="Q27" s="183">
        <f>SUM(D27:O27)</f>
        <v>3000000</v>
      </c>
      <c r="R27" s="199" t="s">
        <v>78</v>
      </c>
      <c r="S27" s="184">
        <f>IF(AND($AL$13="Manual",AM27="OFF"),0,Y28)</f>
        <v>0</v>
      </c>
      <c r="T27" s="484" t="s">
        <v>161</v>
      </c>
      <c r="U27" s="490"/>
      <c r="X27" s="179" t="s">
        <v>155</v>
      </c>
      <c r="Y27" s="180">
        <f>IF(Y20&gt;=100000,0,
IF(Y20&lt;100000,(IF(SUM(D26:O26)*$AM$5*10%&gt;100000-Y20,100000-Y20,SUM(D26:O26)*$AM$5*10%)),0))</f>
        <v>10000</v>
      </c>
      <c r="AA27" s="170"/>
      <c r="AB27" s="170"/>
      <c r="AC27" s="170"/>
      <c r="AL27" s="364" t="s">
        <v>153</v>
      </c>
      <c r="AM27" s="597" t="s">
        <v>312</v>
      </c>
    </row>
    <row r="28" spans="1:39" ht="34.15" customHeight="1" thickBot="1" x14ac:dyDescent="0.2">
      <c r="A28" s="487"/>
      <c r="B28" s="835"/>
      <c r="C28" s="517" t="s">
        <v>79</v>
      </c>
      <c r="D28" s="192">
        <f t="shared" ref="D28:O28" si="12">D21*$L$5*$B$14</f>
        <v>30000</v>
      </c>
      <c r="E28" s="192">
        <f t="shared" si="12"/>
        <v>30000</v>
      </c>
      <c r="F28" s="192">
        <f t="shared" si="12"/>
        <v>30000</v>
      </c>
      <c r="G28" s="192">
        <f t="shared" si="12"/>
        <v>30000</v>
      </c>
      <c r="H28" s="192">
        <f t="shared" si="12"/>
        <v>30000</v>
      </c>
      <c r="I28" s="192">
        <f t="shared" si="12"/>
        <v>30000</v>
      </c>
      <c r="J28" s="192">
        <f t="shared" si="12"/>
        <v>30000</v>
      </c>
      <c r="K28" s="192">
        <f t="shared" si="12"/>
        <v>30000</v>
      </c>
      <c r="L28" s="192">
        <f t="shared" si="12"/>
        <v>30000</v>
      </c>
      <c r="M28" s="192">
        <f t="shared" si="12"/>
        <v>30000</v>
      </c>
      <c r="N28" s="192">
        <f t="shared" si="12"/>
        <v>30000</v>
      </c>
      <c r="O28" s="193">
        <f t="shared" si="12"/>
        <v>30000</v>
      </c>
      <c r="P28" s="501"/>
      <c r="Q28" s="195">
        <f>SUM(D28:O28)</f>
        <v>360000</v>
      </c>
      <c r="R28" s="201" t="s">
        <v>79</v>
      </c>
      <c r="S28" s="184">
        <f>Y29</f>
        <v>0</v>
      </c>
      <c r="T28" s="484" t="s">
        <v>286</v>
      </c>
      <c r="U28" s="490"/>
      <c r="X28" s="179" t="s">
        <v>153</v>
      </c>
      <c r="Y28" s="512"/>
      <c r="AA28" s="170"/>
      <c r="AB28" s="170"/>
      <c r="AC28" s="170"/>
      <c r="AL28" s="364" t="s">
        <v>243</v>
      </c>
      <c r="AM28" s="597" t="s">
        <v>312</v>
      </c>
    </row>
    <row r="29" spans="1:39" ht="34.15" customHeight="1" thickBot="1" x14ac:dyDescent="0.2">
      <c r="A29" s="487"/>
      <c r="B29" s="490"/>
      <c r="C29" s="495"/>
      <c r="D29" s="502"/>
      <c r="E29" s="502"/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3"/>
      <c r="S29" s="187">
        <f>IF(AND($AL$13="Manual",AM29="OFF"),0,Y30)</f>
        <v>45000</v>
      </c>
      <c r="T29" s="485" t="s">
        <v>285</v>
      </c>
      <c r="U29" s="490"/>
      <c r="X29" s="179" t="s">
        <v>243</v>
      </c>
      <c r="Y29" s="512"/>
      <c r="AA29" s="170"/>
      <c r="AB29" s="170"/>
      <c r="AC29" s="170"/>
      <c r="AL29" s="364" t="s">
        <v>244</v>
      </c>
      <c r="AM29" s="597" t="s">
        <v>312</v>
      </c>
    </row>
    <row r="30" spans="1:39" ht="12" customHeight="1" thickBot="1" x14ac:dyDescent="0.2">
      <c r="A30" s="487"/>
      <c r="B30" s="490"/>
      <c r="C30" s="495"/>
      <c r="D30" s="502"/>
      <c r="E30" s="502"/>
      <c r="F30" s="502"/>
      <c r="G30" s="502"/>
      <c r="H30" s="502"/>
      <c r="I30" s="502"/>
      <c r="J30" s="502"/>
      <c r="K30" s="502"/>
      <c r="L30" s="502"/>
      <c r="M30" s="502"/>
      <c r="N30" s="502"/>
      <c r="O30" s="502"/>
      <c r="P30" s="502"/>
      <c r="Q30" s="502"/>
      <c r="R30" s="503"/>
      <c r="S30" s="502"/>
      <c r="T30" s="496"/>
      <c r="U30" s="490"/>
      <c r="X30" s="179" t="s">
        <v>244</v>
      </c>
      <c r="Y30" s="180">
        <f>SUM(D26:O26)*$AM$5*5%</f>
        <v>45000</v>
      </c>
      <c r="AA30" s="170"/>
      <c r="AB30" s="170"/>
      <c r="AC30" s="170"/>
      <c r="AL30" s="887" t="s">
        <v>274</v>
      </c>
      <c r="AM30" s="889">
        <v>0.75</v>
      </c>
    </row>
    <row r="31" spans="1:39" ht="34.15" customHeight="1" thickBot="1" x14ac:dyDescent="0.2">
      <c r="A31" s="487"/>
      <c r="B31" s="482" t="s">
        <v>12</v>
      </c>
      <c r="C31" s="473" t="s">
        <v>76</v>
      </c>
      <c r="D31" s="478">
        <v>25</v>
      </c>
      <c r="E31" s="478">
        <v>26</v>
      </c>
      <c r="F31" s="478">
        <v>27</v>
      </c>
      <c r="G31" s="478">
        <v>28</v>
      </c>
      <c r="H31" s="478">
        <v>29</v>
      </c>
      <c r="I31" s="478">
        <v>30</v>
      </c>
      <c r="J31" s="478">
        <v>31</v>
      </c>
      <c r="K31" s="478">
        <v>32</v>
      </c>
      <c r="L31" s="478">
        <v>33</v>
      </c>
      <c r="M31" s="478">
        <v>34</v>
      </c>
      <c r="N31" s="478">
        <v>35</v>
      </c>
      <c r="O31" s="479">
        <v>36</v>
      </c>
      <c r="P31" s="502"/>
      <c r="Q31" s="490"/>
      <c r="R31" s="496"/>
      <c r="S31" s="496"/>
      <c r="T31" s="496"/>
      <c r="U31" s="490"/>
      <c r="AL31" s="887"/>
      <c r="AM31" s="889"/>
    </row>
    <row r="32" spans="1:39" ht="34.15" customHeight="1" x14ac:dyDescent="0.15">
      <c r="A32" s="487"/>
      <c r="B32" s="833">
        <v>3</v>
      </c>
      <c r="C32" s="516" t="s">
        <v>32</v>
      </c>
      <c r="D32" s="171">
        <f t="shared" ref="D32:O32" si="13">$I$3</f>
        <v>10</v>
      </c>
      <c r="E32" s="171">
        <f t="shared" si="13"/>
        <v>10</v>
      </c>
      <c r="F32" s="171">
        <f t="shared" si="13"/>
        <v>10</v>
      </c>
      <c r="G32" s="171">
        <f t="shared" si="13"/>
        <v>10</v>
      </c>
      <c r="H32" s="171">
        <f t="shared" si="13"/>
        <v>10</v>
      </c>
      <c r="I32" s="171">
        <f t="shared" si="13"/>
        <v>10</v>
      </c>
      <c r="J32" s="171">
        <f t="shared" si="13"/>
        <v>10</v>
      </c>
      <c r="K32" s="171">
        <f t="shared" si="13"/>
        <v>10</v>
      </c>
      <c r="L32" s="171">
        <f t="shared" si="13"/>
        <v>10</v>
      </c>
      <c r="M32" s="171">
        <f t="shared" si="13"/>
        <v>10</v>
      </c>
      <c r="N32" s="171">
        <f t="shared" si="13"/>
        <v>10</v>
      </c>
      <c r="O32" s="172">
        <f t="shared" si="13"/>
        <v>10</v>
      </c>
      <c r="P32" s="500"/>
      <c r="Q32" s="178">
        <f>SUM(D32:O32)</f>
        <v>120</v>
      </c>
      <c r="R32" s="198" t="s">
        <v>32</v>
      </c>
      <c r="S32" s="178">
        <f>IF(AND($AL$13="Manual",AM25="OFF"),0,SUM(Y32:AJ32))</f>
        <v>315000</v>
      </c>
      <c r="T32" s="483" t="s">
        <v>287</v>
      </c>
      <c r="U32" s="490"/>
      <c r="X32" s="179" t="s">
        <v>152</v>
      </c>
      <c r="Y32" s="180">
        <f>IF($B$14&lt;70%,0,
IF(D33*$AM$5&gt;64000,"35%",
IF(AND(D33*$AM$5&gt;32000,D33*$AM$5&lt;=64000),"30%",
IF(AND(D33*$AM$5&gt;16000,D33*$AM$5&lt;=32000),"25%",
IF(AND(D33*$AM$5&gt;8000,D33*$AM$5&lt;=16000),"20%",
0)))))*D33*$AM$5</f>
        <v>26250</v>
      </c>
      <c r="Z32" s="180">
        <f t="shared" ref="Z32:AJ32" si="14">IF($B$14&lt;70%,0,
IF(E33*$AM$5&gt;64000,"35%",
IF(AND(E33*$AM$5&gt;32000,E33*$AM$5&lt;=64000),"30%",
IF(AND(E33*$AM$5&gt;16000,E33*$AM$5&lt;=32000),"25%",
IF(AND(E33*$AM$5&gt;8000,E33*$AM$5&lt;=16000),"20%",
0)))))*E33*$AM$5</f>
        <v>26250</v>
      </c>
      <c r="AA32" s="180">
        <f t="shared" si="14"/>
        <v>26250</v>
      </c>
      <c r="AB32" s="180">
        <f t="shared" si="14"/>
        <v>26250</v>
      </c>
      <c r="AC32" s="180">
        <f t="shared" si="14"/>
        <v>26250</v>
      </c>
      <c r="AD32" s="180">
        <f t="shared" si="14"/>
        <v>26250</v>
      </c>
      <c r="AE32" s="180">
        <f t="shared" si="14"/>
        <v>26250</v>
      </c>
      <c r="AF32" s="180">
        <f t="shared" si="14"/>
        <v>26250</v>
      </c>
      <c r="AG32" s="180">
        <f t="shared" si="14"/>
        <v>26250</v>
      </c>
      <c r="AH32" s="180">
        <f t="shared" si="14"/>
        <v>26250</v>
      </c>
      <c r="AI32" s="180">
        <f t="shared" si="14"/>
        <v>26250</v>
      </c>
      <c r="AJ32" s="180">
        <f t="shared" si="14"/>
        <v>26250</v>
      </c>
    </row>
    <row r="33" spans="1:36" ht="34.15" customHeight="1" x14ac:dyDescent="0.15">
      <c r="A33" s="487"/>
      <c r="B33" s="863"/>
      <c r="C33" s="516" t="s">
        <v>9</v>
      </c>
      <c r="D33" s="173">
        <f t="shared" ref="D33:O33" si="15">IF($S$1=1,$E$5*$I$3*$K$5,$E$5*$I$3*$K$5*$O$18)</f>
        <v>100000</v>
      </c>
      <c r="E33" s="173">
        <f t="shared" si="15"/>
        <v>100000</v>
      </c>
      <c r="F33" s="173">
        <f t="shared" si="15"/>
        <v>100000</v>
      </c>
      <c r="G33" s="173">
        <f t="shared" si="15"/>
        <v>100000</v>
      </c>
      <c r="H33" s="173">
        <f t="shared" si="15"/>
        <v>100000</v>
      </c>
      <c r="I33" s="173">
        <f t="shared" si="15"/>
        <v>100000</v>
      </c>
      <c r="J33" s="173">
        <f t="shared" si="15"/>
        <v>100000</v>
      </c>
      <c r="K33" s="173">
        <f t="shared" si="15"/>
        <v>100000</v>
      </c>
      <c r="L33" s="173">
        <f t="shared" si="15"/>
        <v>100000</v>
      </c>
      <c r="M33" s="173">
        <f t="shared" si="15"/>
        <v>100000</v>
      </c>
      <c r="N33" s="173">
        <f t="shared" si="15"/>
        <v>100000</v>
      </c>
      <c r="O33" s="174">
        <f t="shared" si="15"/>
        <v>100000</v>
      </c>
      <c r="P33" s="500"/>
      <c r="Q33" s="183">
        <f>SUM(D33:O33)</f>
        <v>1200000</v>
      </c>
      <c r="R33" s="199" t="s">
        <v>77</v>
      </c>
      <c r="S33" s="183">
        <f>IF(AND($AL$13="Manual",AM26="OFF"),0,SUM(Y33:Z33))</f>
        <v>315000</v>
      </c>
      <c r="T33" s="484" t="s">
        <v>288</v>
      </c>
      <c r="U33" s="490"/>
      <c r="X33" s="179" t="s">
        <v>242</v>
      </c>
      <c r="Y33" s="180">
        <f>IF(SUM(D33:I33)*$AM$5&gt;400000,"35%",
IF(AND(SUM(D33:I33)*$AM$5&gt;300000,SUM(D33:I33)*$AM$5&lt;=400000),"32.5%",
IF(AND(SUM(D33:I33)*$AM$5&gt;250000,SUM(D33:I33)*$AM$5&lt;=300000),"30%",
IF(AND(SUM(D33:I33)*$AM$5&gt;200000,SUM(D33:I33)*$AM$5&lt;=250000),"27.5%",
IF(AND(SUM(D33:I33)*$AM$5&gt;150000,SUM(D33:I33)*$AM$5&lt;=200000),"25%",
IF(AND(SUM(D33:I33)*$AM$5&gt;100000,SUM(D33:I33)*$AM$5&lt;=150000),"22.5%",
IF(AND(SUM(D33:I33)*$AM$5&gt;60000,SUM(D33:I33)*$AM$5&lt;=100000),"20%",
IF(AND(SUM(D33:I33)*$AM$5&gt;40000,SUM(D33:I33)*$AM$5&lt;=60000),"17.5%",
1))))))))*(IF($B$14&lt;70%,0%,IF(AND($B$14&gt;=70%,$B$14&lt;85%),100%,IF($B$14&gt;=85%,110%,))))*SUM(D33:I33)*$AM$5</f>
        <v>157500</v>
      </c>
      <c r="Z33" s="511">
        <f>IF(SUM(J33:O33)*$AM$5&gt;400000,"35%",
IF(AND(SUM(J33:O33)*$AM$5&gt;300000,SUM(J33:O33)&lt;=400000),"32.5%",
IF(AND(SUM(J33:O33)*$AM$5&gt;250000,SUM(J33:O33)&lt;=300000),"30%",
IF(AND(SUM(J33:O33)*$AM$5&gt;200000,SUM(J33:O33)&lt;=250000),"27.5%",
IF(AND(SUM(J33:O33)*$AM$5&gt;150000,SUM(J33:O33)&lt;=200000),"25%",
IF(AND(SUM(J33:O33)*$AM$5&gt;100000,SUM(J33:O33)&lt;=150000),"22.5%",
IF(AND(SUM(J33:O33)*$AM$5&gt;60000,SUM(J33:O33)&lt;=100000),"20%",
IF(AND(SUM(J33:O33)*$AM$5&gt;40000,SUM(J33:O33)&lt;=60000),"17.5%",
1))))))))*(IF($B$14&lt;70%,0%,IF(AND($B$14&gt;=70%,$B$14&lt;85%),100%,IF($B$14&gt;=85%,110%,))))*SUM(J33:O33)*$AM$5</f>
        <v>157500</v>
      </c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</row>
    <row r="34" spans="1:36" ht="34.15" customHeight="1" x14ac:dyDescent="0.15">
      <c r="A34" s="487"/>
      <c r="B34" s="863"/>
      <c r="C34" s="516" t="s">
        <v>3</v>
      </c>
      <c r="D34" s="173">
        <f t="shared" ref="D34:O34" si="16">IF($S$1=1,$E$5*$I$3,$E$5*$I$3*$O$18)</f>
        <v>250000</v>
      </c>
      <c r="E34" s="173">
        <f t="shared" si="16"/>
        <v>250000</v>
      </c>
      <c r="F34" s="173">
        <f t="shared" si="16"/>
        <v>250000</v>
      </c>
      <c r="G34" s="173">
        <f t="shared" si="16"/>
        <v>250000</v>
      </c>
      <c r="H34" s="173">
        <f t="shared" si="16"/>
        <v>250000</v>
      </c>
      <c r="I34" s="173">
        <f t="shared" si="16"/>
        <v>250000</v>
      </c>
      <c r="J34" s="173">
        <f t="shared" si="16"/>
        <v>250000</v>
      </c>
      <c r="K34" s="173">
        <f t="shared" si="16"/>
        <v>250000</v>
      </c>
      <c r="L34" s="173">
        <f t="shared" si="16"/>
        <v>250000</v>
      </c>
      <c r="M34" s="173">
        <f t="shared" si="16"/>
        <v>250000</v>
      </c>
      <c r="N34" s="173">
        <f t="shared" si="16"/>
        <v>250000</v>
      </c>
      <c r="O34" s="174">
        <f t="shared" si="16"/>
        <v>250000</v>
      </c>
      <c r="P34" s="500"/>
      <c r="Q34" s="183">
        <f>SUM(D34:O34)</f>
        <v>3000000</v>
      </c>
      <c r="R34" s="199" t="s">
        <v>78</v>
      </c>
      <c r="S34" s="183">
        <f>IF(AND($AL$13="Manual",AM27="OFF"),0,Y35)</f>
        <v>202500</v>
      </c>
      <c r="T34" s="484" t="s">
        <v>161</v>
      </c>
      <c r="U34" s="490"/>
      <c r="X34" s="179" t="s">
        <v>155</v>
      </c>
      <c r="Y34" s="512"/>
      <c r="AA34" s="170"/>
      <c r="AB34" s="170"/>
      <c r="AC34" s="170"/>
    </row>
    <row r="35" spans="1:36" ht="34.15" customHeight="1" x14ac:dyDescent="0.15">
      <c r="A35" s="487"/>
      <c r="B35" s="863"/>
      <c r="C35" s="516" t="s">
        <v>80</v>
      </c>
      <c r="D35" s="190">
        <f t="shared" ref="D35:O35" si="17">D27*$L$5*$B$14</f>
        <v>30000</v>
      </c>
      <c r="E35" s="190">
        <f t="shared" si="17"/>
        <v>30000</v>
      </c>
      <c r="F35" s="190">
        <f t="shared" si="17"/>
        <v>30000</v>
      </c>
      <c r="G35" s="190">
        <f t="shared" si="17"/>
        <v>30000</v>
      </c>
      <c r="H35" s="190">
        <f t="shared" si="17"/>
        <v>30000</v>
      </c>
      <c r="I35" s="190">
        <f t="shared" si="17"/>
        <v>30000</v>
      </c>
      <c r="J35" s="190">
        <f t="shared" si="17"/>
        <v>30000</v>
      </c>
      <c r="K35" s="190">
        <f t="shared" si="17"/>
        <v>30000</v>
      </c>
      <c r="L35" s="190">
        <f t="shared" si="17"/>
        <v>30000</v>
      </c>
      <c r="M35" s="190">
        <f t="shared" si="17"/>
        <v>30000</v>
      </c>
      <c r="N35" s="190">
        <f t="shared" si="17"/>
        <v>30000</v>
      </c>
      <c r="O35" s="191">
        <f t="shared" si="17"/>
        <v>30000</v>
      </c>
      <c r="P35" s="501"/>
      <c r="Q35" s="194">
        <f>SUM(D35:O35)</f>
        <v>360000</v>
      </c>
      <c r="R35" s="202" t="s">
        <v>80</v>
      </c>
      <c r="S35" s="184">
        <f>Y36</f>
        <v>0</v>
      </c>
      <c r="T35" s="484" t="s">
        <v>286</v>
      </c>
      <c r="U35" s="490"/>
      <c r="X35" s="179" t="s">
        <v>153</v>
      </c>
      <c r="Y35" s="180">
        <f>IF(AND(Q26*$AM$5&gt;=200000,$B$14&gt;=85%),SUM(Q28)*$B$14*$B$10*110%,IF(AND(Q26*$AM$5&gt;=100000,$B$14&gt;=75%),SUM(Q28)*$B$14*$B$10*100%,0))</f>
        <v>202500</v>
      </c>
      <c r="AA35" s="170"/>
      <c r="AB35" s="170"/>
      <c r="AC35" s="170"/>
    </row>
    <row r="36" spans="1:36" ht="34.15" customHeight="1" thickBot="1" x14ac:dyDescent="0.2">
      <c r="A36" s="487"/>
      <c r="B36" s="835"/>
      <c r="C36" s="517" t="s">
        <v>79</v>
      </c>
      <c r="D36" s="192">
        <f t="shared" ref="D36:O36" si="18">D21*$M$5*$B$14</f>
        <v>18750</v>
      </c>
      <c r="E36" s="192">
        <f t="shared" si="18"/>
        <v>18750</v>
      </c>
      <c r="F36" s="192">
        <f t="shared" si="18"/>
        <v>18750</v>
      </c>
      <c r="G36" s="192">
        <f t="shared" si="18"/>
        <v>18750</v>
      </c>
      <c r="H36" s="192">
        <f t="shared" si="18"/>
        <v>18750</v>
      </c>
      <c r="I36" s="192">
        <f t="shared" si="18"/>
        <v>18750</v>
      </c>
      <c r="J36" s="192">
        <f t="shared" si="18"/>
        <v>18750</v>
      </c>
      <c r="K36" s="192">
        <f t="shared" si="18"/>
        <v>18750</v>
      </c>
      <c r="L36" s="192">
        <f t="shared" si="18"/>
        <v>18750</v>
      </c>
      <c r="M36" s="192">
        <f t="shared" si="18"/>
        <v>18750</v>
      </c>
      <c r="N36" s="192">
        <f t="shared" si="18"/>
        <v>18750</v>
      </c>
      <c r="O36" s="193">
        <f t="shared" si="18"/>
        <v>18750</v>
      </c>
      <c r="P36" s="501"/>
      <c r="Q36" s="195">
        <f>SUM(D36:O36)</f>
        <v>225000</v>
      </c>
      <c r="R36" s="201" t="s">
        <v>79</v>
      </c>
      <c r="S36" s="187">
        <f>IF(AND($AL$13="Manual",AM29="OFF"),0,Y37)</f>
        <v>45000</v>
      </c>
      <c r="T36" s="485" t="s">
        <v>285</v>
      </c>
      <c r="U36" s="490"/>
      <c r="X36" s="179" t="s">
        <v>243</v>
      </c>
      <c r="Y36" s="512"/>
      <c r="AA36" s="170"/>
      <c r="AB36" s="170"/>
      <c r="AC36" s="170"/>
    </row>
    <row r="37" spans="1:36" ht="12" customHeight="1" x14ac:dyDescent="0.15">
      <c r="A37" s="487"/>
      <c r="B37" s="490"/>
      <c r="C37" s="495"/>
      <c r="D37" s="502"/>
      <c r="E37" s="502"/>
      <c r="F37" s="502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3"/>
      <c r="S37" s="502"/>
      <c r="T37" s="496"/>
      <c r="U37" s="490"/>
      <c r="X37" s="179" t="s">
        <v>244</v>
      </c>
      <c r="Y37" s="180">
        <f>SUM(D33:O33)*$AM$5*5%</f>
        <v>45000</v>
      </c>
      <c r="AA37" s="170"/>
      <c r="AB37" s="170"/>
      <c r="AC37" s="170"/>
    </row>
    <row r="38" spans="1:36" ht="12" customHeight="1" thickBot="1" x14ac:dyDescent="0.2">
      <c r="A38" s="487"/>
      <c r="B38" s="490"/>
      <c r="C38" s="495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3"/>
      <c r="S38" s="502"/>
      <c r="T38" s="496"/>
      <c r="U38" s="490"/>
      <c r="X38" s="170"/>
      <c r="Y38" s="170"/>
      <c r="AA38" s="170"/>
      <c r="AB38" s="170"/>
      <c r="AC38" s="170"/>
    </row>
    <row r="39" spans="1:36" ht="34.15" customHeight="1" thickBot="1" x14ac:dyDescent="0.2">
      <c r="A39" s="487"/>
      <c r="B39" s="482" t="s">
        <v>12</v>
      </c>
      <c r="C39" s="473" t="s">
        <v>76</v>
      </c>
      <c r="D39" s="478">
        <v>37</v>
      </c>
      <c r="E39" s="478">
        <v>38</v>
      </c>
      <c r="F39" s="478">
        <v>39</v>
      </c>
      <c r="G39" s="478">
        <v>40</v>
      </c>
      <c r="H39" s="478">
        <v>41</v>
      </c>
      <c r="I39" s="478">
        <v>42</v>
      </c>
      <c r="J39" s="478">
        <v>43</v>
      </c>
      <c r="K39" s="478">
        <v>44</v>
      </c>
      <c r="L39" s="478">
        <v>45</v>
      </c>
      <c r="M39" s="478">
        <v>46</v>
      </c>
      <c r="N39" s="478">
        <v>47</v>
      </c>
      <c r="O39" s="479">
        <v>48</v>
      </c>
      <c r="P39" s="490"/>
      <c r="Q39" s="490"/>
      <c r="R39" s="496"/>
      <c r="S39" s="490"/>
      <c r="T39" s="496"/>
      <c r="U39" s="490"/>
    </row>
    <row r="40" spans="1:36" ht="34.15" customHeight="1" x14ac:dyDescent="0.15">
      <c r="A40" s="487"/>
      <c r="B40" s="864">
        <v>4</v>
      </c>
      <c r="C40" s="516" t="s">
        <v>32</v>
      </c>
      <c r="D40" s="171">
        <f t="shared" ref="D40:O40" si="19">$I$3</f>
        <v>10</v>
      </c>
      <c r="E40" s="171">
        <f t="shared" si="19"/>
        <v>10</v>
      </c>
      <c r="F40" s="171">
        <f t="shared" si="19"/>
        <v>10</v>
      </c>
      <c r="G40" s="171">
        <f t="shared" si="19"/>
        <v>10</v>
      </c>
      <c r="H40" s="171">
        <f t="shared" si="19"/>
        <v>10</v>
      </c>
      <c r="I40" s="171">
        <f t="shared" si="19"/>
        <v>10</v>
      </c>
      <c r="J40" s="171">
        <f t="shared" si="19"/>
        <v>10</v>
      </c>
      <c r="K40" s="171">
        <f t="shared" si="19"/>
        <v>10</v>
      </c>
      <c r="L40" s="171">
        <f t="shared" si="19"/>
        <v>10</v>
      </c>
      <c r="M40" s="171">
        <f t="shared" si="19"/>
        <v>10</v>
      </c>
      <c r="N40" s="171">
        <f t="shared" si="19"/>
        <v>10</v>
      </c>
      <c r="O40" s="172">
        <f t="shared" si="19"/>
        <v>10</v>
      </c>
      <c r="P40" s="500"/>
      <c r="Q40" s="178">
        <f t="shared" ref="Q40:Q45" si="20">SUM(D40:O40)</f>
        <v>120</v>
      </c>
      <c r="R40" s="198" t="s">
        <v>32</v>
      </c>
      <c r="S40" s="178">
        <f>IF(AND($AL$13="Manual",AM25="OFF"),0,SUM(Y41:AJ41))</f>
        <v>315000</v>
      </c>
      <c r="T40" s="483" t="s">
        <v>287</v>
      </c>
      <c r="U40" s="490"/>
    </row>
    <row r="41" spans="1:36" ht="34.15" customHeight="1" x14ac:dyDescent="0.15">
      <c r="A41" s="487"/>
      <c r="B41" s="864"/>
      <c r="C41" s="516" t="s">
        <v>9</v>
      </c>
      <c r="D41" s="173">
        <f t="shared" ref="D41:O41" si="21">IF($S$1=1,$E$5*$I$3*$K$5,$E$5*$I$3*$K$5*$O$18)</f>
        <v>100000</v>
      </c>
      <c r="E41" s="173">
        <f t="shared" si="21"/>
        <v>100000</v>
      </c>
      <c r="F41" s="173">
        <f t="shared" si="21"/>
        <v>100000</v>
      </c>
      <c r="G41" s="173">
        <f t="shared" si="21"/>
        <v>100000</v>
      </c>
      <c r="H41" s="173">
        <f t="shared" si="21"/>
        <v>100000</v>
      </c>
      <c r="I41" s="173">
        <f t="shared" si="21"/>
        <v>100000</v>
      </c>
      <c r="J41" s="173">
        <f t="shared" si="21"/>
        <v>100000</v>
      </c>
      <c r="K41" s="173">
        <f t="shared" si="21"/>
        <v>100000</v>
      </c>
      <c r="L41" s="173">
        <f t="shared" si="21"/>
        <v>100000</v>
      </c>
      <c r="M41" s="173">
        <f t="shared" si="21"/>
        <v>100000</v>
      </c>
      <c r="N41" s="173">
        <f t="shared" si="21"/>
        <v>100000</v>
      </c>
      <c r="O41" s="174">
        <f t="shared" si="21"/>
        <v>100000</v>
      </c>
      <c r="P41" s="500"/>
      <c r="Q41" s="183">
        <f t="shared" si="20"/>
        <v>1200000</v>
      </c>
      <c r="R41" s="199" t="s">
        <v>77</v>
      </c>
      <c r="S41" s="183">
        <f>IF(AND($AL$13="Manual",AM26="OFF"),0,SUM(Y42:Z42))</f>
        <v>315000</v>
      </c>
      <c r="T41" s="484" t="s">
        <v>288</v>
      </c>
      <c r="U41" s="490"/>
      <c r="X41" s="179" t="s">
        <v>152</v>
      </c>
      <c r="Y41" s="180">
        <f>IF($B$14&lt;70%,0,
IF(D41*$AM$5&gt;64000,"35%",
IF(AND(D41*$AM$5&gt;32000,D41*$AM$5&lt;=64000),"30%",
IF(AND(D41*$AM$5&gt;16000,D41*$AM$5&lt;=32000),"25%",
IF(AND(D41*$AM$5&gt;8000,D41*$AM$5&lt;=16000),"20%",
0)))))*D41*$AM$5</f>
        <v>26250</v>
      </c>
      <c r="Z41" s="180">
        <f t="shared" ref="Z41:AJ41" si="22">IF($B$14&lt;70%,0,
IF(E41*$AM$5&gt;64000,"35%",
IF(AND(E41*$AM$5&gt;32000,E41*$AM$5&lt;=64000),"30%",
IF(AND(E41*$AM$5&gt;16000,E41*$AM$5&lt;=32000),"25%",
IF(AND(E41*$AM$5&gt;8000,E41*$AM$5&lt;=16000),"20%",
0)))))*E41*$AM$5</f>
        <v>26250</v>
      </c>
      <c r="AA41" s="180">
        <f t="shared" si="22"/>
        <v>26250</v>
      </c>
      <c r="AB41" s="180">
        <f t="shared" si="22"/>
        <v>26250</v>
      </c>
      <c r="AC41" s="180">
        <f t="shared" si="22"/>
        <v>26250</v>
      </c>
      <c r="AD41" s="180">
        <f t="shared" si="22"/>
        <v>26250</v>
      </c>
      <c r="AE41" s="180">
        <f t="shared" si="22"/>
        <v>26250</v>
      </c>
      <c r="AF41" s="180">
        <f t="shared" si="22"/>
        <v>26250</v>
      </c>
      <c r="AG41" s="180">
        <f t="shared" si="22"/>
        <v>26250</v>
      </c>
      <c r="AH41" s="180">
        <f t="shared" si="22"/>
        <v>26250</v>
      </c>
      <c r="AI41" s="180">
        <f t="shared" si="22"/>
        <v>26250</v>
      </c>
      <c r="AJ41" s="180">
        <f t="shared" si="22"/>
        <v>26250</v>
      </c>
    </row>
    <row r="42" spans="1:36" ht="34.15" customHeight="1" x14ac:dyDescent="0.15">
      <c r="A42" s="487"/>
      <c r="B42" s="864"/>
      <c r="C42" s="516" t="s">
        <v>3</v>
      </c>
      <c r="D42" s="173">
        <f t="shared" ref="D42:O42" si="23">IF($S$1=1,$E$5*$I$3,$E$5*$I$3*$O$18)</f>
        <v>250000</v>
      </c>
      <c r="E42" s="173">
        <f t="shared" si="23"/>
        <v>250000</v>
      </c>
      <c r="F42" s="173">
        <f t="shared" si="23"/>
        <v>250000</v>
      </c>
      <c r="G42" s="173">
        <f t="shared" si="23"/>
        <v>250000</v>
      </c>
      <c r="H42" s="173">
        <f t="shared" si="23"/>
        <v>250000</v>
      </c>
      <c r="I42" s="173">
        <f t="shared" si="23"/>
        <v>250000</v>
      </c>
      <c r="J42" s="173">
        <f t="shared" si="23"/>
        <v>250000</v>
      </c>
      <c r="K42" s="173">
        <f t="shared" si="23"/>
        <v>250000</v>
      </c>
      <c r="L42" s="173">
        <f t="shared" si="23"/>
        <v>250000</v>
      </c>
      <c r="M42" s="173">
        <f t="shared" si="23"/>
        <v>250000</v>
      </c>
      <c r="N42" s="173">
        <f t="shared" si="23"/>
        <v>250000</v>
      </c>
      <c r="O42" s="174">
        <f t="shared" si="23"/>
        <v>250000</v>
      </c>
      <c r="P42" s="500"/>
      <c r="Q42" s="183">
        <f t="shared" si="20"/>
        <v>3000000</v>
      </c>
      <c r="R42" s="199" t="s">
        <v>78</v>
      </c>
      <c r="S42" s="183">
        <f>IF(AND($AL$13="Manual",AM27="OFF"),0,Y44)</f>
        <v>329062.5</v>
      </c>
      <c r="T42" s="484" t="s">
        <v>161</v>
      </c>
      <c r="U42" s="490"/>
      <c r="X42" s="179" t="s">
        <v>242</v>
      </c>
      <c r="Y42" s="180">
        <f>IF(SUM(D41:I41)*$AM$5&gt;400000,"35%",
IF(AND(SUM(D41:I41)*$AM$5&gt;300000,SUM(D41:I41)*$AM$5&lt;=400000),"32.5%",
IF(AND(SUM(D41:I41)*$AM$5&gt;250000,SUM(D41:I41)*$AM$5&lt;=300000),"30%",
IF(AND(SUM(D41:I41)*$AM$5&gt;200000,SUM(D41:I41)*$AM$5&lt;=250000),"27.5%",
IF(AND(SUM(D41:I41)*$AM$5&gt;150000,SUM(D41:I41)*$AM$5&lt;=200000),"25%",
IF(AND(SUM(D41:I41)*$AM$5&gt;100000,SUM(D41:I41)*$AM$5&lt;=150000),"22.5%",
IF(AND(SUM(D41:I41)*$AM$5&gt;60000,SUM(D41:I41)*$AM$5&lt;=100000),"20%",
IF(AND(SUM(D41:I41)*$AM$5&gt;40000,SUM(D41:I41)*$AM$5&lt;=60000),"17.5%",
1))))))))*(IF($B$14&lt;70%,0%,IF(AND($B$14&gt;=70%,$B$14&lt;85%),100%,IF($B$14&gt;=85%,110%,))))*SUM(D41:I41)*$AM$5</f>
        <v>157500</v>
      </c>
      <c r="Z42" s="511">
        <f>IF(SUM(J41:O41)*$AM$5&gt;400000,"35%",
IF(AND(SUM(J41:O41)*$AM$5&gt;300000,SUM(J41:O41)*$AM$5&lt;=400000),"32.5%",
IF(AND(SUM(J41:O41)*$AM$5&gt;250000,SUM(J41:O41)*$AM$5&lt;=300000),"30%",
IF(AND(SUM(J41:O41)*$AM$5&gt;200000,SUM(J41:O41)*$AM$5&lt;=250000),"27.5%",
IF(AND(SUM(J41:O41)*$AM$5&gt;150000,SUM(J41:O41)*$AM$5&lt;=200000),"25%",
IF(AND(SUM(J41:O41)*$AM$5&gt;100000,SUM(J41:O41)*$AM$5&lt;=150000),"22.5%",
IF(AND(SUM(J41:O41)*$AM$5&gt;60000,SUM(J41:O41)*$AM$5&lt;=100000),"20%",
IF(AND(SUM(J41:O41)*$AM$5&gt;40000,SUM(J41:O41)*$AM$5&lt;=60000),"17.5%",
1))))))))*(IF($B$14&lt;70%,0%,IF(AND($B$14&gt;=70%,$B$14&lt;85%),100%,IF($B$14&gt;=85%,110%,))))*SUM(J41:O41)*$AM$5</f>
        <v>157500</v>
      </c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</row>
    <row r="43" spans="1:36" ht="34.15" customHeight="1" x14ac:dyDescent="0.15">
      <c r="A43" s="487"/>
      <c r="B43" s="864"/>
      <c r="C43" s="516" t="s">
        <v>81</v>
      </c>
      <c r="D43" s="190">
        <f t="shared" ref="D43:O43" si="24">D34*$L$5*$B$14</f>
        <v>30000</v>
      </c>
      <c r="E43" s="190">
        <f t="shared" si="24"/>
        <v>30000</v>
      </c>
      <c r="F43" s="190">
        <f t="shared" si="24"/>
        <v>30000</v>
      </c>
      <c r="G43" s="190">
        <f t="shared" si="24"/>
        <v>30000</v>
      </c>
      <c r="H43" s="190">
        <f t="shared" si="24"/>
        <v>30000</v>
      </c>
      <c r="I43" s="190">
        <f t="shared" si="24"/>
        <v>30000</v>
      </c>
      <c r="J43" s="190">
        <f t="shared" si="24"/>
        <v>30000</v>
      </c>
      <c r="K43" s="190">
        <f t="shared" si="24"/>
        <v>30000</v>
      </c>
      <c r="L43" s="190">
        <f t="shared" si="24"/>
        <v>30000</v>
      </c>
      <c r="M43" s="190">
        <f t="shared" si="24"/>
        <v>30000</v>
      </c>
      <c r="N43" s="190">
        <f t="shared" si="24"/>
        <v>30000</v>
      </c>
      <c r="O43" s="191">
        <f t="shared" si="24"/>
        <v>30000</v>
      </c>
      <c r="P43" s="501"/>
      <c r="Q43" s="194">
        <f t="shared" si="20"/>
        <v>360000</v>
      </c>
      <c r="R43" s="202" t="s">
        <v>81</v>
      </c>
      <c r="S43" s="184">
        <f>Y45</f>
        <v>0</v>
      </c>
      <c r="T43" s="484" t="s">
        <v>286</v>
      </c>
      <c r="U43" s="490"/>
      <c r="X43" s="179" t="s">
        <v>155</v>
      </c>
      <c r="Y43" s="512"/>
      <c r="AA43" s="170"/>
      <c r="AB43" s="170"/>
      <c r="AC43" s="170"/>
    </row>
    <row r="44" spans="1:36" ht="34.15" customHeight="1" thickBot="1" x14ac:dyDescent="0.2">
      <c r="A44" s="487"/>
      <c r="B44" s="864"/>
      <c r="C44" s="516" t="s">
        <v>80</v>
      </c>
      <c r="D44" s="190">
        <f t="shared" ref="D44:O44" si="25">D27*$M$5*$B$14</f>
        <v>18750</v>
      </c>
      <c r="E44" s="190">
        <f t="shared" si="25"/>
        <v>18750</v>
      </c>
      <c r="F44" s="190">
        <f t="shared" si="25"/>
        <v>18750</v>
      </c>
      <c r="G44" s="190">
        <f t="shared" si="25"/>
        <v>18750</v>
      </c>
      <c r="H44" s="190">
        <f t="shared" si="25"/>
        <v>18750</v>
      </c>
      <c r="I44" s="190">
        <f t="shared" si="25"/>
        <v>18750</v>
      </c>
      <c r="J44" s="190">
        <f t="shared" si="25"/>
        <v>18750</v>
      </c>
      <c r="K44" s="190">
        <f t="shared" si="25"/>
        <v>18750</v>
      </c>
      <c r="L44" s="190">
        <f t="shared" si="25"/>
        <v>18750</v>
      </c>
      <c r="M44" s="190">
        <f t="shared" si="25"/>
        <v>18750</v>
      </c>
      <c r="N44" s="190">
        <f t="shared" si="25"/>
        <v>18750</v>
      </c>
      <c r="O44" s="191">
        <f t="shared" si="25"/>
        <v>18750</v>
      </c>
      <c r="P44" s="501"/>
      <c r="Q44" s="194">
        <f t="shared" si="20"/>
        <v>225000</v>
      </c>
      <c r="R44" s="202" t="s">
        <v>80</v>
      </c>
      <c r="S44" s="187">
        <f>IF(AND($AL$13="Manual",AM29="OFF"),0,Y46)</f>
        <v>45000</v>
      </c>
      <c r="T44" s="485" t="s">
        <v>285</v>
      </c>
      <c r="U44" s="490"/>
      <c r="X44" s="179" t="s">
        <v>153</v>
      </c>
      <c r="Y44" s="180">
        <f>IF(AND(Q33*$AM$5&gt;=200000,$B$14&gt;=85%),SUM(Q35:Q36)*$B$14*$B$10*110%,IF(AND(Q33*$AM$5&gt;=100000,$B$14&gt;=75%),SUM(Q35:Q36)*$B$14*$B$10*100%,0))</f>
        <v>329062.5</v>
      </c>
      <c r="AA44" s="170"/>
      <c r="AB44" s="170"/>
      <c r="AC44" s="170"/>
    </row>
    <row r="45" spans="1:36" ht="34.15" customHeight="1" thickBot="1" x14ac:dyDescent="0.2">
      <c r="A45" s="487"/>
      <c r="B45" s="865"/>
      <c r="C45" s="517" t="s">
        <v>79</v>
      </c>
      <c r="D45" s="192">
        <f t="shared" ref="D45:O45" si="26">D21*$N$5*$B$14</f>
        <v>9375</v>
      </c>
      <c r="E45" s="192">
        <f t="shared" si="26"/>
        <v>9375</v>
      </c>
      <c r="F45" s="192">
        <f t="shared" si="26"/>
        <v>9375</v>
      </c>
      <c r="G45" s="192">
        <f t="shared" si="26"/>
        <v>9375</v>
      </c>
      <c r="H45" s="192">
        <f t="shared" si="26"/>
        <v>9375</v>
      </c>
      <c r="I45" s="192">
        <f t="shared" si="26"/>
        <v>9375</v>
      </c>
      <c r="J45" s="192">
        <f t="shared" si="26"/>
        <v>9375</v>
      </c>
      <c r="K45" s="192">
        <f t="shared" si="26"/>
        <v>9375</v>
      </c>
      <c r="L45" s="192">
        <f t="shared" si="26"/>
        <v>9375</v>
      </c>
      <c r="M45" s="192">
        <f t="shared" si="26"/>
        <v>9375</v>
      </c>
      <c r="N45" s="192">
        <f t="shared" si="26"/>
        <v>9375</v>
      </c>
      <c r="O45" s="193">
        <f t="shared" si="26"/>
        <v>9375</v>
      </c>
      <c r="P45" s="501"/>
      <c r="Q45" s="195">
        <f t="shared" si="20"/>
        <v>112500</v>
      </c>
      <c r="R45" s="201" t="s">
        <v>79</v>
      </c>
      <c r="S45" s="502"/>
      <c r="T45" s="496"/>
      <c r="U45" s="490"/>
      <c r="X45" s="179" t="s">
        <v>243</v>
      </c>
      <c r="Y45" s="512"/>
      <c r="AA45" s="170"/>
      <c r="AB45" s="170"/>
      <c r="AC45" s="170"/>
    </row>
    <row r="46" spans="1:36" ht="12" customHeight="1" x14ac:dyDescent="0.15">
      <c r="A46" s="487"/>
      <c r="B46" s="490"/>
      <c r="C46" s="495"/>
      <c r="D46" s="502"/>
      <c r="E46" s="502"/>
      <c r="F46" s="502"/>
      <c r="G46" s="502"/>
      <c r="H46" s="502"/>
      <c r="I46" s="502"/>
      <c r="J46" s="502"/>
      <c r="K46" s="502"/>
      <c r="L46" s="502"/>
      <c r="M46" s="502"/>
      <c r="N46" s="502"/>
      <c r="O46" s="502"/>
      <c r="P46" s="502"/>
      <c r="Q46" s="502"/>
      <c r="R46" s="503"/>
      <c r="S46" s="502"/>
      <c r="T46" s="496"/>
      <c r="U46" s="490"/>
      <c r="X46" s="179" t="s">
        <v>244</v>
      </c>
      <c r="Y46" s="180">
        <f>SUM(D41:O41)*$AM$5*5%</f>
        <v>45000</v>
      </c>
      <c r="AA46" s="170"/>
      <c r="AB46" s="170"/>
      <c r="AC46" s="170"/>
    </row>
    <row r="47" spans="1:36" ht="12" customHeight="1" thickBot="1" x14ac:dyDescent="0.2">
      <c r="A47" s="487"/>
      <c r="B47" s="490"/>
      <c r="C47" s="495"/>
      <c r="D47" s="502"/>
      <c r="E47" s="502"/>
      <c r="F47" s="502"/>
      <c r="G47" s="502"/>
      <c r="H47" s="502"/>
      <c r="I47" s="502"/>
      <c r="J47" s="502"/>
      <c r="K47" s="502"/>
      <c r="L47" s="502"/>
      <c r="M47" s="502"/>
      <c r="N47" s="502"/>
      <c r="O47" s="502"/>
      <c r="P47" s="502"/>
      <c r="Q47" s="502"/>
      <c r="R47" s="503"/>
      <c r="S47" s="502"/>
      <c r="T47" s="496"/>
      <c r="U47" s="490"/>
    </row>
    <row r="48" spans="1:36" ht="34.15" customHeight="1" thickBot="1" x14ac:dyDescent="0.2">
      <c r="A48" s="487"/>
      <c r="B48" s="482" t="s">
        <v>12</v>
      </c>
      <c r="C48" s="473" t="s">
        <v>76</v>
      </c>
      <c r="D48" s="478">
        <v>49</v>
      </c>
      <c r="E48" s="478">
        <v>50</v>
      </c>
      <c r="F48" s="478">
        <v>51</v>
      </c>
      <c r="G48" s="478">
        <v>52</v>
      </c>
      <c r="H48" s="478">
        <v>53</v>
      </c>
      <c r="I48" s="478">
        <v>54</v>
      </c>
      <c r="J48" s="478">
        <v>55</v>
      </c>
      <c r="K48" s="478">
        <v>56</v>
      </c>
      <c r="L48" s="478">
        <v>57</v>
      </c>
      <c r="M48" s="478">
        <v>58</v>
      </c>
      <c r="N48" s="478">
        <v>59</v>
      </c>
      <c r="O48" s="479">
        <v>60</v>
      </c>
      <c r="P48" s="502"/>
      <c r="Q48" s="490"/>
      <c r="R48" s="496"/>
      <c r="S48" s="490"/>
      <c r="T48" s="496"/>
      <c r="U48" s="490"/>
    </row>
    <row r="49" spans="1:36" ht="34.15" customHeight="1" x14ac:dyDescent="0.15">
      <c r="A49" s="487"/>
      <c r="B49" s="833">
        <v>5</v>
      </c>
      <c r="C49" s="516" t="s">
        <v>32</v>
      </c>
      <c r="D49" s="171">
        <f t="shared" ref="D49:O49" si="27">$I$3</f>
        <v>10</v>
      </c>
      <c r="E49" s="171">
        <f t="shared" si="27"/>
        <v>10</v>
      </c>
      <c r="F49" s="171">
        <f t="shared" si="27"/>
        <v>10</v>
      </c>
      <c r="G49" s="171">
        <f t="shared" si="27"/>
        <v>10</v>
      </c>
      <c r="H49" s="171">
        <f t="shared" si="27"/>
        <v>10</v>
      </c>
      <c r="I49" s="171">
        <f t="shared" si="27"/>
        <v>10</v>
      </c>
      <c r="J49" s="171">
        <f t="shared" si="27"/>
        <v>10</v>
      </c>
      <c r="K49" s="171">
        <f t="shared" si="27"/>
        <v>10</v>
      </c>
      <c r="L49" s="171">
        <f t="shared" si="27"/>
        <v>10</v>
      </c>
      <c r="M49" s="171">
        <f t="shared" si="27"/>
        <v>10</v>
      </c>
      <c r="N49" s="171">
        <f t="shared" si="27"/>
        <v>10</v>
      </c>
      <c r="O49" s="172">
        <f t="shared" si="27"/>
        <v>10</v>
      </c>
      <c r="P49" s="500"/>
      <c r="Q49" s="178">
        <f t="shared" ref="Q49:Q54" si="28">SUM(D49:O49)</f>
        <v>120</v>
      </c>
      <c r="R49" s="198" t="s">
        <v>32</v>
      </c>
      <c r="S49" s="178">
        <f>IF(AND($AL$13="Manual",AM25="OFF"),0,SUM(Y50:AJ50))</f>
        <v>315000</v>
      </c>
      <c r="T49" s="483" t="s">
        <v>287</v>
      </c>
      <c r="U49" s="490"/>
    </row>
    <row r="50" spans="1:36" ht="34.15" customHeight="1" x14ac:dyDescent="0.15">
      <c r="A50" s="487"/>
      <c r="B50" s="863"/>
      <c r="C50" s="516" t="s">
        <v>9</v>
      </c>
      <c r="D50" s="173">
        <f t="shared" ref="D50:O50" si="29">IF($S$1=1,$E$5*$I$3*$K$5,$E$5*$I$3*$K$5*$O$18)</f>
        <v>100000</v>
      </c>
      <c r="E50" s="173">
        <f t="shared" si="29"/>
        <v>100000</v>
      </c>
      <c r="F50" s="173">
        <f t="shared" si="29"/>
        <v>100000</v>
      </c>
      <c r="G50" s="173">
        <f t="shared" si="29"/>
        <v>100000</v>
      </c>
      <c r="H50" s="173">
        <f t="shared" si="29"/>
        <v>100000</v>
      </c>
      <c r="I50" s="173">
        <f t="shared" si="29"/>
        <v>100000</v>
      </c>
      <c r="J50" s="173">
        <f t="shared" si="29"/>
        <v>100000</v>
      </c>
      <c r="K50" s="173">
        <f t="shared" si="29"/>
        <v>100000</v>
      </c>
      <c r="L50" s="173">
        <f t="shared" si="29"/>
        <v>100000</v>
      </c>
      <c r="M50" s="173">
        <f t="shared" si="29"/>
        <v>100000</v>
      </c>
      <c r="N50" s="173">
        <f t="shared" si="29"/>
        <v>100000</v>
      </c>
      <c r="O50" s="174">
        <f t="shared" si="29"/>
        <v>100000</v>
      </c>
      <c r="P50" s="500"/>
      <c r="Q50" s="183">
        <f t="shared" si="28"/>
        <v>1200000</v>
      </c>
      <c r="R50" s="199" t="s">
        <v>77</v>
      </c>
      <c r="S50" s="183">
        <f>IF(AND($AL$13="Manual",AM26="OFF"),0,SUM(Y51:Z51))</f>
        <v>315000</v>
      </c>
      <c r="T50" s="484" t="s">
        <v>288</v>
      </c>
      <c r="U50" s="490"/>
      <c r="X50" s="179" t="s">
        <v>152</v>
      </c>
      <c r="Y50" s="180">
        <f>IF($B$14&lt;70%,0,
IF(D50*$AM$5&gt;64000,"35%",
IF(AND(D50*$AM$5&gt;32000,D50*$AM$5&lt;=64000),"30%",
IF(AND(D50*$AM$5&gt;16000,D50*$AM$5&lt;=32000),"25%",
IF(AND(D50*$AM$5&gt;8000,D50*$AM$5&lt;=16000),"20%",
0)))))*D50*$AM$5</f>
        <v>26250</v>
      </c>
      <c r="Z50" s="180">
        <f t="shared" ref="Z50:AJ50" si="30">IF($B$14&lt;70%,0,
IF(E50*$AM$5&gt;64000,"35%",
IF(AND(E50*$AM$5&gt;32000,E50*$AM$5&lt;=64000),"30%",
IF(AND(E50*$AM$5&gt;16000,E50*$AM$5&lt;=32000),"25%",
IF(AND(E50*$AM$5&gt;8000,E50*$AM$5&lt;=16000),"20%",
0)))))*E50*$AM$5</f>
        <v>26250</v>
      </c>
      <c r="AA50" s="180">
        <f t="shared" si="30"/>
        <v>26250</v>
      </c>
      <c r="AB50" s="180">
        <f t="shared" si="30"/>
        <v>26250</v>
      </c>
      <c r="AC50" s="180">
        <f t="shared" si="30"/>
        <v>26250</v>
      </c>
      <c r="AD50" s="180">
        <f t="shared" si="30"/>
        <v>26250</v>
      </c>
      <c r="AE50" s="180">
        <f t="shared" si="30"/>
        <v>26250</v>
      </c>
      <c r="AF50" s="180">
        <f t="shared" si="30"/>
        <v>26250</v>
      </c>
      <c r="AG50" s="180">
        <f t="shared" si="30"/>
        <v>26250</v>
      </c>
      <c r="AH50" s="180">
        <f t="shared" si="30"/>
        <v>26250</v>
      </c>
      <c r="AI50" s="180">
        <f t="shared" si="30"/>
        <v>26250</v>
      </c>
      <c r="AJ50" s="180">
        <f t="shared" si="30"/>
        <v>26250</v>
      </c>
    </row>
    <row r="51" spans="1:36" ht="34.15" customHeight="1" x14ac:dyDescent="0.15">
      <c r="A51" s="487"/>
      <c r="B51" s="863"/>
      <c r="C51" s="516" t="s">
        <v>3</v>
      </c>
      <c r="D51" s="173">
        <f t="shared" ref="D51:O51" si="31">IF($S$1=1,$E$5*$I$3,$E$5*$I$3*$O$18)</f>
        <v>250000</v>
      </c>
      <c r="E51" s="173">
        <f t="shared" si="31"/>
        <v>250000</v>
      </c>
      <c r="F51" s="173">
        <f t="shared" si="31"/>
        <v>250000</v>
      </c>
      <c r="G51" s="173">
        <f t="shared" si="31"/>
        <v>250000</v>
      </c>
      <c r="H51" s="173">
        <f t="shared" si="31"/>
        <v>250000</v>
      </c>
      <c r="I51" s="173">
        <f t="shared" si="31"/>
        <v>250000</v>
      </c>
      <c r="J51" s="173">
        <f t="shared" si="31"/>
        <v>250000</v>
      </c>
      <c r="K51" s="173">
        <f t="shared" si="31"/>
        <v>250000</v>
      </c>
      <c r="L51" s="173">
        <f t="shared" si="31"/>
        <v>250000</v>
      </c>
      <c r="M51" s="173">
        <f t="shared" si="31"/>
        <v>250000</v>
      </c>
      <c r="N51" s="173">
        <f t="shared" si="31"/>
        <v>250000</v>
      </c>
      <c r="O51" s="174">
        <f t="shared" si="31"/>
        <v>250000</v>
      </c>
      <c r="P51" s="500"/>
      <c r="Q51" s="183">
        <f t="shared" si="28"/>
        <v>3000000</v>
      </c>
      <c r="R51" s="199" t="s">
        <v>78</v>
      </c>
      <c r="S51" s="183">
        <f>IF(AND($AL$13="Manual",AM27="OFF"),0,Y53)</f>
        <v>392343.75</v>
      </c>
      <c r="T51" s="484" t="s">
        <v>161</v>
      </c>
      <c r="U51" s="490"/>
      <c r="X51" s="179" t="s">
        <v>242</v>
      </c>
      <c r="Y51" s="180">
        <f>IF(SUM(D50:I50)*$AM$5&gt;400000,"35%",
IF(AND(SUM(D50:I50)*$AM$5&gt;300000,SUM(D50:I50)*$AM$5&lt;=400000),"32.5%",
IF(AND(SUM(D50:I50)*$AM$5&gt;250000,SUM(D50:I50)*$AM$5&lt;=300000),"30%",
IF(AND(SUM(D50:I50)*$AM$5&gt;200000,SUM(D50:I50)*$AM$5&lt;=250000),"27.5%",
IF(AND(SUM(D50:I50)*$AM$5&gt;150000,SUM(D50:I50)*$AM$5&lt;=200000),"25%",
IF(AND(SUM(D50:I50)*$AM$5&gt;100000,SUM(D50:I50)*$AM$5&lt;=150000),"22.5%",
IF(AND(SUM(D50:I50)*$AM$5&gt;60000,SUM(D50:I50)*$AM$5&lt;=100000),"20%",
IF(AND(SUM(D50:I50)*$AM$5&gt;40000,SUM(D50:I50)*$AM$5&lt;=60000),"17.5%",
1))))))))*(IF($B$14&lt;70%,0%,IF(AND($B$14&gt;=70%,$B$14&lt;85%),100%,IF($B$14&gt;=85%,110%,))))*SUM(D50:I50)*$AM$5</f>
        <v>157500</v>
      </c>
      <c r="Z51" s="511">
        <f>IF(SUM(J50:O50)*$AM$5&gt;400000,"35%",
IF(AND(SUM(J50:O50)*$AM$5&gt;300000,SUM(J50:O50)*$AM$5&lt;=400000),"32.5%",
IF(AND(SUM(J50:O50)*$AM$5&gt;250000,SUM(J50:O50)*$AM$5&lt;=300000),"30%",
IF(AND(SUM(J50:O50)*$AM$5&gt;200000,SUM(J50:O50)*$AM$5&lt;=250000),"27.5%",
IF(AND(SUM(J50:O50)*$AM$5&gt;150000,SUM(J50:O50)*$AM$5&lt;=200000),"25%",
IF(AND(SUM(J50:O50)*$AM$5&gt;100000,SUM(J50:O50)*$AM$5&lt;=150000),"22.5%",
IF(AND(SUM(J50:O50)*$AM$5&gt;60000,SUM(J50:O50)*$AM$5&lt;=100000),"20%",
IF(AND(SUM(J50:O50)*$AM$5&gt;40000,SUM(J50:O50)*$AM$5&lt;=60000),"17.5%",
1))))))))*(IF($B$14&lt;70%,0%,IF(AND($B$14&gt;=70%,$B$14&lt;85%),100%,IF($B$14&gt;=85%,110%,))))*SUM(J50:O50)*$AM$5</f>
        <v>157500</v>
      </c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</row>
    <row r="52" spans="1:36" ht="34.15" customHeight="1" x14ac:dyDescent="0.15">
      <c r="A52" s="487"/>
      <c r="B52" s="863"/>
      <c r="C52" s="516" t="s">
        <v>82</v>
      </c>
      <c r="D52" s="190">
        <f t="shared" ref="D52:O52" si="32">D42*$L$5*$B$14</f>
        <v>30000</v>
      </c>
      <c r="E52" s="190">
        <f t="shared" si="32"/>
        <v>30000</v>
      </c>
      <c r="F52" s="190">
        <f t="shared" si="32"/>
        <v>30000</v>
      </c>
      <c r="G52" s="190">
        <f t="shared" si="32"/>
        <v>30000</v>
      </c>
      <c r="H52" s="190">
        <f t="shared" si="32"/>
        <v>30000</v>
      </c>
      <c r="I52" s="190">
        <f t="shared" si="32"/>
        <v>30000</v>
      </c>
      <c r="J52" s="190">
        <f t="shared" si="32"/>
        <v>30000</v>
      </c>
      <c r="K52" s="190">
        <f t="shared" si="32"/>
        <v>30000</v>
      </c>
      <c r="L52" s="190">
        <f t="shared" si="32"/>
        <v>30000</v>
      </c>
      <c r="M52" s="190">
        <f t="shared" si="32"/>
        <v>30000</v>
      </c>
      <c r="N52" s="190">
        <f t="shared" si="32"/>
        <v>30000</v>
      </c>
      <c r="O52" s="190">
        <f t="shared" si="32"/>
        <v>30000</v>
      </c>
      <c r="P52" s="501"/>
      <c r="Q52" s="194">
        <f t="shared" si="28"/>
        <v>360000</v>
      </c>
      <c r="R52" s="202" t="s">
        <v>82</v>
      </c>
      <c r="S52" s="184">
        <f>Y54</f>
        <v>0</v>
      </c>
      <c r="T52" s="484" t="s">
        <v>286</v>
      </c>
      <c r="U52" s="490"/>
      <c r="X52" s="179" t="s">
        <v>155</v>
      </c>
      <c r="Y52" s="512"/>
      <c r="AA52" s="170"/>
      <c r="AB52" s="170"/>
      <c r="AC52" s="170"/>
    </row>
    <row r="53" spans="1:36" ht="34.15" customHeight="1" thickBot="1" x14ac:dyDescent="0.2">
      <c r="A53" s="487"/>
      <c r="B53" s="863"/>
      <c r="C53" s="516" t="s">
        <v>81</v>
      </c>
      <c r="D53" s="190">
        <f t="shared" ref="D53:O53" si="33">D34*$M$5*$B$14</f>
        <v>18750</v>
      </c>
      <c r="E53" s="190">
        <f t="shared" si="33"/>
        <v>18750</v>
      </c>
      <c r="F53" s="190">
        <f t="shared" si="33"/>
        <v>18750</v>
      </c>
      <c r="G53" s="190">
        <f t="shared" si="33"/>
        <v>18750</v>
      </c>
      <c r="H53" s="190">
        <f t="shared" si="33"/>
        <v>18750</v>
      </c>
      <c r="I53" s="190">
        <f t="shared" si="33"/>
        <v>18750</v>
      </c>
      <c r="J53" s="190">
        <f t="shared" si="33"/>
        <v>18750</v>
      </c>
      <c r="K53" s="190">
        <f t="shared" si="33"/>
        <v>18750</v>
      </c>
      <c r="L53" s="190">
        <f t="shared" si="33"/>
        <v>18750</v>
      </c>
      <c r="M53" s="190">
        <f t="shared" si="33"/>
        <v>18750</v>
      </c>
      <c r="N53" s="190">
        <f t="shared" si="33"/>
        <v>18750</v>
      </c>
      <c r="O53" s="190">
        <f t="shared" si="33"/>
        <v>18750</v>
      </c>
      <c r="P53" s="501"/>
      <c r="Q53" s="194">
        <f t="shared" si="28"/>
        <v>225000</v>
      </c>
      <c r="R53" s="202" t="s">
        <v>81</v>
      </c>
      <c r="S53" s="187">
        <f>IF(AND($AL$13="Manual",AM29="OFF"),0,Y55)</f>
        <v>45000</v>
      </c>
      <c r="T53" s="485" t="s">
        <v>285</v>
      </c>
      <c r="U53" s="490"/>
      <c r="X53" s="179" t="s">
        <v>153</v>
      </c>
      <c r="Y53" s="180">
        <f>IF(AND(Q41*$AM$5&gt;=200000,$B$14&gt;=85%),SUM(Q43:Q45)*$B$14*$B$10*110%,IF(AND(Q41*$AM$5&gt;=100000,$B$14&gt;=75%),SUM(Q43:Q45)*$B$14*$B$10*100%,0))</f>
        <v>392343.75</v>
      </c>
      <c r="AA53" s="170"/>
      <c r="AB53" s="170"/>
      <c r="AC53" s="170"/>
    </row>
    <row r="54" spans="1:36" ht="34.15" customHeight="1" thickBot="1" x14ac:dyDescent="0.2">
      <c r="A54" s="487"/>
      <c r="B54" s="835"/>
      <c r="C54" s="517" t="s">
        <v>83</v>
      </c>
      <c r="D54" s="192">
        <f t="shared" ref="D54:O54" si="34">SUM(D21*$O$5*$B$14,D27*$N$5*$B$14)</f>
        <v>18750</v>
      </c>
      <c r="E54" s="192">
        <f t="shared" si="34"/>
        <v>18750</v>
      </c>
      <c r="F54" s="192">
        <f t="shared" si="34"/>
        <v>18750</v>
      </c>
      <c r="G54" s="192">
        <f t="shared" si="34"/>
        <v>18750</v>
      </c>
      <c r="H54" s="192">
        <f t="shared" si="34"/>
        <v>18750</v>
      </c>
      <c r="I54" s="192">
        <f t="shared" si="34"/>
        <v>18750</v>
      </c>
      <c r="J54" s="192">
        <f t="shared" si="34"/>
        <v>18750</v>
      </c>
      <c r="K54" s="192">
        <f t="shared" si="34"/>
        <v>18750</v>
      </c>
      <c r="L54" s="192">
        <f t="shared" si="34"/>
        <v>18750</v>
      </c>
      <c r="M54" s="192">
        <f t="shared" si="34"/>
        <v>18750</v>
      </c>
      <c r="N54" s="192">
        <f t="shared" si="34"/>
        <v>18750</v>
      </c>
      <c r="O54" s="192">
        <f t="shared" si="34"/>
        <v>18750</v>
      </c>
      <c r="P54" s="501"/>
      <c r="Q54" s="195">
        <f t="shared" si="28"/>
        <v>225000</v>
      </c>
      <c r="R54" s="201" t="s">
        <v>83</v>
      </c>
      <c r="S54" s="502"/>
      <c r="T54" s="496"/>
      <c r="U54" s="490"/>
      <c r="X54" s="179" t="s">
        <v>243</v>
      </c>
      <c r="Y54" s="512"/>
      <c r="AA54" s="170"/>
      <c r="AB54" s="170"/>
      <c r="AC54" s="170"/>
    </row>
    <row r="55" spans="1:36" ht="12" customHeight="1" x14ac:dyDescent="0.15">
      <c r="A55" s="487"/>
      <c r="B55" s="490"/>
      <c r="C55" s="495"/>
      <c r="D55" s="502"/>
      <c r="E55" s="502"/>
      <c r="F55" s="502"/>
      <c r="G55" s="502"/>
      <c r="H55" s="502"/>
      <c r="I55" s="502"/>
      <c r="J55" s="502"/>
      <c r="K55" s="502"/>
      <c r="L55" s="502"/>
      <c r="M55" s="502"/>
      <c r="N55" s="502"/>
      <c r="O55" s="502"/>
      <c r="P55" s="502"/>
      <c r="Q55" s="502"/>
      <c r="R55" s="503"/>
      <c r="S55" s="502"/>
      <c r="T55" s="496"/>
      <c r="U55" s="490"/>
      <c r="X55" s="179" t="s">
        <v>244</v>
      </c>
      <c r="Y55" s="180">
        <f>SUM(D50:O50)*$AM$5*5%</f>
        <v>45000</v>
      </c>
      <c r="AA55" s="170"/>
      <c r="AB55" s="170"/>
      <c r="AC55" s="170"/>
    </row>
    <row r="56" spans="1:36" ht="12" customHeight="1" thickBot="1" x14ac:dyDescent="0.2">
      <c r="A56" s="487"/>
      <c r="B56" s="490"/>
      <c r="C56" s="495"/>
      <c r="D56" s="502"/>
      <c r="E56" s="502"/>
      <c r="F56" s="502"/>
      <c r="G56" s="502"/>
      <c r="H56" s="502"/>
      <c r="I56" s="502"/>
      <c r="J56" s="502"/>
      <c r="K56" s="502"/>
      <c r="L56" s="502"/>
      <c r="M56" s="502"/>
      <c r="N56" s="502"/>
      <c r="O56" s="502"/>
      <c r="P56" s="502"/>
      <c r="Q56" s="502"/>
      <c r="R56" s="503"/>
      <c r="S56" s="502"/>
      <c r="T56" s="496"/>
      <c r="U56" s="490"/>
    </row>
    <row r="57" spans="1:36" ht="34.15" customHeight="1" thickBot="1" x14ac:dyDescent="0.2">
      <c r="A57" s="487"/>
      <c r="B57" s="482" t="s">
        <v>12</v>
      </c>
      <c r="C57" s="473" t="s">
        <v>76</v>
      </c>
      <c r="D57" s="478">
        <v>61</v>
      </c>
      <c r="E57" s="478">
        <v>62</v>
      </c>
      <c r="F57" s="478">
        <v>63</v>
      </c>
      <c r="G57" s="478">
        <v>64</v>
      </c>
      <c r="H57" s="478">
        <v>65</v>
      </c>
      <c r="I57" s="478">
        <v>66</v>
      </c>
      <c r="J57" s="478">
        <v>67</v>
      </c>
      <c r="K57" s="478">
        <v>68</v>
      </c>
      <c r="L57" s="478">
        <v>69</v>
      </c>
      <c r="M57" s="478">
        <v>70</v>
      </c>
      <c r="N57" s="478">
        <v>71</v>
      </c>
      <c r="O57" s="479">
        <v>72</v>
      </c>
      <c r="P57" s="490"/>
      <c r="Q57" s="490"/>
      <c r="R57" s="496"/>
      <c r="S57" s="490"/>
      <c r="T57" s="496"/>
      <c r="U57" s="490"/>
    </row>
    <row r="58" spans="1:36" ht="34.15" customHeight="1" x14ac:dyDescent="0.15">
      <c r="A58" s="487"/>
      <c r="B58" s="864">
        <v>6</v>
      </c>
      <c r="C58" s="516" t="s">
        <v>32</v>
      </c>
      <c r="D58" s="171">
        <f t="shared" ref="D58:O58" si="35">$I$3</f>
        <v>10</v>
      </c>
      <c r="E58" s="171">
        <f t="shared" si="35"/>
        <v>10</v>
      </c>
      <c r="F58" s="171">
        <f t="shared" si="35"/>
        <v>10</v>
      </c>
      <c r="G58" s="171">
        <f t="shared" si="35"/>
        <v>10</v>
      </c>
      <c r="H58" s="171">
        <f t="shared" si="35"/>
        <v>10</v>
      </c>
      <c r="I58" s="171">
        <f t="shared" si="35"/>
        <v>10</v>
      </c>
      <c r="J58" s="171">
        <f t="shared" si="35"/>
        <v>10</v>
      </c>
      <c r="K58" s="171">
        <f t="shared" si="35"/>
        <v>10</v>
      </c>
      <c r="L58" s="171">
        <f t="shared" si="35"/>
        <v>10</v>
      </c>
      <c r="M58" s="171">
        <f t="shared" si="35"/>
        <v>10</v>
      </c>
      <c r="N58" s="171">
        <f t="shared" si="35"/>
        <v>10</v>
      </c>
      <c r="O58" s="172">
        <f t="shared" si="35"/>
        <v>10</v>
      </c>
      <c r="P58" s="500"/>
      <c r="Q58" s="178">
        <f t="shared" ref="Q58:Q63" si="36">SUM(D58:O58)</f>
        <v>120</v>
      </c>
      <c r="R58" s="198" t="s">
        <v>32</v>
      </c>
      <c r="S58" s="178">
        <f>IF(AND($AL$13="Manual",AM25="OFF"),0,SUM(Y59:AJ59))</f>
        <v>315000</v>
      </c>
      <c r="T58" s="483" t="s">
        <v>287</v>
      </c>
      <c r="U58" s="490"/>
    </row>
    <row r="59" spans="1:36" ht="34.15" customHeight="1" x14ac:dyDescent="0.15">
      <c r="A59" s="487"/>
      <c r="B59" s="864"/>
      <c r="C59" s="516" t="s">
        <v>9</v>
      </c>
      <c r="D59" s="173">
        <f t="shared" ref="D59:O59" si="37">IF($S$1=1,$E$5*$I$3*$K$5,$E$5*$I$3*$K$5*$O$18)</f>
        <v>100000</v>
      </c>
      <c r="E59" s="173">
        <f t="shared" si="37"/>
        <v>100000</v>
      </c>
      <c r="F59" s="173">
        <f t="shared" si="37"/>
        <v>100000</v>
      </c>
      <c r="G59" s="173">
        <f t="shared" si="37"/>
        <v>100000</v>
      </c>
      <c r="H59" s="173">
        <f t="shared" si="37"/>
        <v>100000</v>
      </c>
      <c r="I59" s="173">
        <f t="shared" si="37"/>
        <v>100000</v>
      </c>
      <c r="J59" s="173">
        <f t="shared" si="37"/>
        <v>100000</v>
      </c>
      <c r="K59" s="173">
        <f t="shared" si="37"/>
        <v>100000</v>
      </c>
      <c r="L59" s="173">
        <f t="shared" si="37"/>
        <v>100000</v>
      </c>
      <c r="M59" s="173">
        <f t="shared" si="37"/>
        <v>100000</v>
      </c>
      <c r="N59" s="173">
        <f t="shared" si="37"/>
        <v>100000</v>
      </c>
      <c r="O59" s="174">
        <f t="shared" si="37"/>
        <v>100000</v>
      </c>
      <c r="P59" s="500"/>
      <c r="Q59" s="183">
        <f t="shared" si="36"/>
        <v>1200000</v>
      </c>
      <c r="R59" s="199" t="s">
        <v>77</v>
      </c>
      <c r="S59" s="183">
        <f>IF(AND($AL$13="Manual",AM26="OFF"),0,SUM(Y60:Z60))</f>
        <v>315000</v>
      </c>
      <c r="T59" s="484" t="s">
        <v>288</v>
      </c>
      <c r="U59" s="490"/>
      <c r="X59" s="179" t="s">
        <v>152</v>
      </c>
      <c r="Y59" s="180">
        <f>IF($B$14&lt;70%,0,
IF(D59*$AM$5&gt;64000,"35%",
IF(AND(D59*$AM$5&gt;32000,D59*$AM$5&lt;=64000),"30%",
IF(AND(D59*$AM$5&gt;16000,D59*$AM$5&lt;=32000),"25%",
IF(AND(D59*$AM$5&gt;8000,D59*$AM$5&lt;=16000),"20%",
0)))))*D59*$AM$5</f>
        <v>26250</v>
      </c>
      <c r="Z59" s="180">
        <f t="shared" ref="Z59:AJ59" si="38">IF($B$14&lt;70%,0,
IF(E59*$AM$5&gt;64000,"35%",
IF(AND(E59*$AM$5&gt;32000,E59*$AM$5&lt;=64000),"30%",
IF(AND(E59*$AM$5&gt;16000,E59*$AM$5&lt;=32000),"25%",
IF(AND(E59*$AM$5&gt;8000,E59*$AM$5&lt;=16000),"20%",
0)))))*E59*$AM$5</f>
        <v>26250</v>
      </c>
      <c r="AA59" s="180">
        <f t="shared" si="38"/>
        <v>26250</v>
      </c>
      <c r="AB59" s="180">
        <f t="shared" si="38"/>
        <v>26250</v>
      </c>
      <c r="AC59" s="180">
        <f t="shared" si="38"/>
        <v>26250</v>
      </c>
      <c r="AD59" s="180">
        <f t="shared" si="38"/>
        <v>26250</v>
      </c>
      <c r="AE59" s="180">
        <f t="shared" si="38"/>
        <v>26250</v>
      </c>
      <c r="AF59" s="180">
        <f t="shared" si="38"/>
        <v>26250</v>
      </c>
      <c r="AG59" s="180">
        <f t="shared" si="38"/>
        <v>26250</v>
      </c>
      <c r="AH59" s="180">
        <f t="shared" si="38"/>
        <v>26250</v>
      </c>
      <c r="AI59" s="180">
        <f t="shared" si="38"/>
        <v>26250</v>
      </c>
      <c r="AJ59" s="180">
        <f t="shared" si="38"/>
        <v>26250</v>
      </c>
    </row>
    <row r="60" spans="1:36" ht="34.15" customHeight="1" x14ac:dyDescent="0.15">
      <c r="A60" s="487"/>
      <c r="B60" s="864"/>
      <c r="C60" s="516" t="s">
        <v>3</v>
      </c>
      <c r="D60" s="173">
        <f t="shared" ref="D60:O60" si="39">IF($S$1=1,$E$5*$I$3,$E$5*$I$3*$O$18)</f>
        <v>250000</v>
      </c>
      <c r="E60" s="173">
        <f t="shared" si="39"/>
        <v>250000</v>
      </c>
      <c r="F60" s="173">
        <f t="shared" si="39"/>
        <v>250000</v>
      </c>
      <c r="G60" s="173">
        <f t="shared" si="39"/>
        <v>250000</v>
      </c>
      <c r="H60" s="173">
        <f t="shared" si="39"/>
        <v>250000</v>
      </c>
      <c r="I60" s="173">
        <f t="shared" si="39"/>
        <v>250000</v>
      </c>
      <c r="J60" s="173">
        <f t="shared" si="39"/>
        <v>250000</v>
      </c>
      <c r="K60" s="173">
        <f t="shared" si="39"/>
        <v>250000</v>
      </c>
      <c r="L60" s="173">
        <f t="shared" si="39"/>
        <v>250000</v>
      </c>
      <c r="M60" s="173">
        <f t="shared" si="39"/>
        <v>250000</v>
      </c>
      <c r="N60" s="173">
        <f t="shared" si="39"/>
        <v>250000</v>
      </c>
      <c r="O60" s="174">
        <f t="shared" si="39"/>
        <v>250000</v>
      </c>
      <c r="P60" s="500"/>
      <c r="Q60" s="183">
        <f t="shared" si="36"/>
        <v>3000000</v>
      </c>
      <c r="R60" s="199" t="s">
        <v>78</v>
      </c>
      <c r="S60" s="183">
        <f>IF(AND($AL$13="Manual",AM27="OFF"),0,Y62)</f>
        <v>455625</v>
      </c>
      <c r="T60" s="484" t="s">
        <v>161</v>
      </c>
      <c r="U60" s="490"/>
      <c r="X60" s="179" t="s">
        <v>242</v>
      </c>
      <c r="Y60" s="180">
        <f>IF(SUM(D59:I59)*$AM$5&gt;400000,"35%",
IF(AND(SUM(D59:I59)*$AM$5&gt;300000,SUM(D59:I59)*$AM$5&lt;=400000),"32.5%",
IF(AND(SUM(D59:I59)*$AM$5&gt;250000,SUM(D59:I59)*$AM$5&lt;=300000),"30%",
IF(AND(SUM(D59:I59)*$AM$5&gt;200000,SUM(D59:I59)*$AM$5&lt;=250000),"27.5%",
IF(AND(SUM(D59:I59)*$AM$5&gt;150000,SUM(D59:I59)*$AM$5&lt;=200000),"25%",
IF(AND(SUM(D59:I59)*$AM$5&gt;100000,SUM(D59:I59)*$AM$5&lt;=150000),"22.5%",
IF(AND(SUM(D59:I59)*$AM$5&gt;60000,SUM(D59:I59)*$AM$5&lt;=100000),"20%",
IF(AND(SUM(D59:I59)*$AM$5&gt;40000,SUM(D59:I59)*$AM$5&lt;=60000),"17.5%",
1))))))))*(IF($B$14&lt;70%,0%,IF(AND($B$14&gt;=70%,$B$14&lt;85%),100%,IF($B$14&gt;=85%,110%,))))*SUM(D59:I59)*$AM$5</f>
        <v>157500</v>
      </c>
      <c r="Z60" s="511">
        <f>IF(SUM(J59:O59)*$AM$5&gt;400000,"35%",
IF(AND(SUM(J59:O59)*$AM$5&gt;300000,SUM(J59:O59)*$AM$5&lt;=400000),"32.5%",
IF(AND(SUM(J59:O59)*$AM$5&gt;250000,SUM(J59:O59)*$AM$5&lt;=300000),"30%",
IF(AND(SUM(J59:O59)*$AM$5&gt;200000,SUM(J59:O59)*$AM$5&lt;=250000),"27.5%",
IF(AND(SUM(J59:O59)*$AM$5&gt;150000,SUM(J59:O59)*$AM$5&lt;=200000),"25%",
IF(AND(SUM(J59:O59)*$AM$5&gt;100000,SUM(J59:O59)*$AM$5&lt;=150000),"22.5%",
IF(AND(SUM(J59:O59)*$AM$5&gt;60000,SUM(J59:O59)*$AM$5&lt;=100000),"20%",
IF(AND(SUM(J59:O59)*$AM$5&gt;40000,SUM(J59:O59)*$AM$5&lt;=60000),"17.5%",
1))))))))*(IF($B$14&lt;70%,0%,IF(AND($B$14&gt;=70%,$B$14&lt;85%),100%,IF($B$14&gt;=85%,110%,))))*SUM(J59:O59)*$AM$5</f>
        <v>157500</v>
      </c>
      <c r="AA60" s="510"/>
      <c r="AB60" s="510"/>
      <c r="AC60" s="510"/>
      <c r="AD60" s="510"/>
      <c r="AE60" s="510"/>
      <c r="AF60" s="510"/>
      <c r="AG60" s="510"/>
      <c r="AH60" s="510"/>
      <c r="AI60" s="510"/>
      <c r="AJ60" s="510"/>
    </row>
    <row r="61" spans="1:36" ht="34.15" customHeight="1" x14ac:dyDescent="0.15">
      <c r="A61" s="487"/>
      <c r="B61" s="864"/>
      <c r="C61" s="516" t="s">
        <v>84</v>
      </c>
      <c r="D61" s="190">
        <f t="shared" ref="D61:O61" si="40">D51*$L$5*$B$14</f>
        <v>30000</v>
      </c>
      <c r="E61" s="190">
        <f t="shared" si="40"/>
        <v>30000</v>
      </c>
      <c r="F61" s="190">
        <f t="shared" si="40"/>
        <v>30000</v>
      </c>
      <c r="G61" s="190">
        <f t="shared" si="40"/>
        <v>30000</v>
      </c>
      <c r="H61" s="190">
        <f t="shared" si="40"/>
        <v>30000</v>
      </c>
      <c r="I61" s="190">
        <f t="shared" si="40"/>
        <v>30000</v>
      </c>
      <c r="J61" s="190">
        <f t="shared" si="40"/>
        <v>30000</v>
      </c>
      <c r="K61" s="190">
        <f t="shared" si="40"/>
        <v>30000</v>
      </c>
      <c r="L61" s="190">
        <f t="shared" si="40"/>
        <v>30000</v>
      </c>
      <c r="M61" s="190">
        <f t="shared" si="40"/>
        <v>30000</v>
      </c>
      <c r="N61" s="190">
        <f t="shared" si="40"/>
        <v>30000</v>
      </c>
      <c r="O61" s="191">
        <f t="shared" si="40"/>
        <v>30000</v>
      </c>
      <c r="P61" s="501"/>
      <c r="Q61" s="194">
        <f t="shared" si="36"/>
        <v>360000</v>
      </c>
      <c r="R61" s="202" t="s">
        <v>84</v>
      </c>
      <c r="S61" s="184">
        <f>Y63</f>
        <v>0</v>
      </c>
      <c r="T61" s="484" t="s">
        <v>286</v>
      </c>
      <c r="U61" s="490"/>
      <c r="X61" s="179" t="s">
        <v>155</v>
      </c>
      <c r="Y61" s="512"/>
      <c r="AA61" s="170"/>
      <c r="AB61" s="170"/>
      <c r="AC61" s="170"/>
    </row>
    <row r="62" spans="1:36" ht="34.15" customHeight="1" thickBot="1" x14ac:dyDescent="0.2">
      <c r="A62" s="487"/>
      <c r="B62" s="864"/>
      <c r="C62" s="516" t="s">
        <v>82</v>
      </c>
      <c r="D62" s="190">
        <f t="shared" ref="D62:O62" si="41">D42*$M$5*$B$14</f>
        <v>18750</v>
      </c>
      <c r="E62" s="190">
        <f t="shared" si="41"/>
        <v>18750</v>
      </c>
      <c r="F62" s="190">
        <f t="shared" si="41"/>
        <v>18750</v>
      </c>
      <c r="G62" s="190">
        <f t="shared" si="41"/>
        <v>18750</v>
      </c>
      <c r="H62" s="190">
        <f t="shared" si="41"/>
        <v>18750</v>
      </c>
      <c r="I62" s="190">
        <f t="shared" si="41"/>
        <v>18750</v>
      </c>
      <c r="J62" s="190">
        <f t="shared" si="41"/>
        <v>18750</v>
      </c>
      <c r="K62" s="190">
        <f t="shared" si="41"/>
        <v>18750</v>
      </c>
      <c r="L62" s="190">
        <f t="shared" si="41"/>
        <v>18750</v>
      </c>
      <c r="M62" s="190">
        <f t="shared" si="41"/>
        <v>18750</v>
      </c>
      <c r="N62" s="190">
        <f t="shared" si="41"/>
        <v>18750</v>
      </c>
      <c r="O62" s="191">
        <f t="shared" si="41"/>
        <v>18750</v>
      </c>
      <c r="P62" s="501"/>
      <c r="Q62" s="194">
        <f t="shared" si="36"/>
        <v>225000</v>
      </c>
      <c r="R62" s="202" t="s">
        <v>82</v>
      </c>
      <c r="S62" s="187">
        <f>IF(AND($AL$13="Manual",AM29="OFF"),0,Y64)</f>
        <v>45000</v>
      </c>
      <c r="T62" s="485" t="s">
        <v>285</v>
      </c>
      <c r="U62" s="490"/>
      <c r="X62" s="179" t="s">
        <v>153</v>
      </c>
      <c r="Y62" s="180">
        <f>IF(AND(Q50*$AM$5&gt;=200000,$B$14&gt;=85%),SUM(Q52:Q54)*$B$14*$B$10*110%,IF(AND(Q50*$AM$5&gt;=100000,$B$14&gt;=75%),SUM(Q52:Q54)*$B$14*$B$10*100%,0))</f>
        <v>455625</v>
      </c>
      <c r="AA62" s="170"/>
      <c r="AB62" s="170"/>
      <c r="AC62" s="170"/>
    </row>
    <row r="63" spans="1:36" ht="34.15" customHeight="1" thickBot="1" x14ac:dyDescent="0.2">
      <c r="A63" s="487"/>
      <c r="B63" s="865"/>
      <c r="C63" s="517" t="s">
        <v>85</v>
      </c>
      <c r="D63" s="192">
        <f t="shared" ref="D63:O63" si="42">SUM(D21*$Q$5*$B$14,D27*$O$5*$B$14,D34*$N$5*$B$14)</f>
        <v>28125</v>
      </c>
      <c r="E63" s="192">
        <f t="shared" si="42"/>
        <v>28125</v>
      </c>
      <c r="F63" s="192">
        <f t="shared" si="42"/>
        <v>28125</v>
      </c>
      <c r="G63" s="192">
        <f t="shared" si="42"/>
        <v>28125</v>
      </c>
      <c r="H63" s="192">
        <f t="shared" si="42"/>
        <v>28125</v>
      </c>
      <c r="I63" s="192">
        <f t="shared" si="42"/>
        <v>28125</v>
      </c>
      <c r="J63" s="192">
        <f t="shared" si="42"/>
        <v>28125</v>
      </c>
      <c r="K63" s="192">
        <f t="shared" si="42"/>
        <v>28125</v>
      </c>
      <c r="L63" s="192">
        <f t="shared" si="42"/>
        <v>28125</v>
      </c>
      <c r="M63" s="192">
        <f t="shared" si="42"/>
        <v>28125</v>
      </c>
      <c r="N63" s="192">
        <f t="shared" si="42"/>
        <v>28125</v>
      </c>
      <c r="O63" s="193">
        <f t="shared" si="42"/>
        <v>28125</v>
      </c>
      <c r="P63" s="501"/>
      <c r="Q63" s="195">
        <f t="shared" si="36"/>
        <v>337500</v>
      </c>
      <c r="R63" s="201" t="s">
        <v>85</v>
      </c>
      <c r="S63" s="502"/>
      <c r="T63" s="496"/>
      <c r="U63" s="490"/>
      <c r="X63" s="179" t="s">
        <v>243</v>
      </c>
      <c r="Y63" s="512"/>
      <c r="AA63" s="170"/>
      <c r="AB63" s="170"/>
      <c r="AC63" s="170"/>
    </row>
    <row r="64" spans="1:36" ht="12" customHeight="1" x14ac:dyDescent="0.15">
      <c r="A64" s="487"/>
      <c r="B64" s="490"/>
      <c r="C64" s="495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2"/>
      <c r="Q64" s="502"/>
      <c r="R64" s="503"/>
      <c r="S64" s="502"/>
      <c r="T64" s="496"/>
      <c r="U64" s="490"/>
      <c r="X64" s="179" t="s">
        <v>244</v>
      </c>
      <c r="Y64" s="180">
        <f>SUM(D59:O59)*$AM$5*5%</f>
        <v>45000</v>
      </c>
      <c r="AA64" s="170"/>
      <c r="AB64" s="170"/>
      <c r="AC64" s="170"/>
    </row>
    <row r="65" spans="1:36" ht="12" customHeight="1" thickBot="1" x14ac:dyDescent="0.2">
      <c r="A65" s="487"/>
      <c r="B65" s="490"/>
      <c r="C65" s="495"/>
      <c r="D65" s="502"/>
      <c r="E65" s="502"/>
      <c r="F65" s="502"/>
      <c r="G65" s="502"/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3"/>
      <c r="S65" s="502"/>
      <c r="T65" s="496"/>
      <c r="U65" s="490"/>
    </row>
    <row r="66" spans="1:36" ht="34.15" customHeight="1" thickBot="1" x14ac:dyDescent="0.2">
      <c r="A66" s="487"/>
      <c r="B66" s="482" t="s">
        <v>12</v>
      </c>
      <c r="C66" s="473" t="s">
        <v>76</v>
      </c>
      <c r="D66" s="478">
        <v>73</v>
      </c>
      <c r="E66" s="478">
        <v>74</v>
      </c>
      <c r="F66" s="478">
        <v>75</v>
      </c>
      <c r="G66" s="478">
        <v>76</v>
      </c>
      <c r="H66" s="478">
        <v>77</v>
      </c>
      <c r="I66" s="478">
        <v>78</v>
      </c>
      <c r="J66" s="478">
        <v>79</v>
      </c>
      <c r="K66" s="478">
        <v>80</v>
      </c>
      <c r="L66" s="478">
        <v>81</v>
      </c>
      <c r="M66" s="478">
        <v>82</v>
      </c>
      <c r="N66" s="478">
        <v>83</v>
      </c>
      <c r="O66" s="479">
        <v>84</v>
      </c>
      <c r="P66" s="502"/>
      <c r="Q66" s="490"/>
      <c r="R66" s="496"/>
      <c r="S66" s="490"/>
      <c r="T66" s="496"/>
      <c r="U66" s="490"/>
    </row>
    <row r="67" spans="1:36" ht="34.15" customHeight="1" x14ac:dyDescent="0.15">
      <c r="A67" s="487"/>
      <c r="B67" s="833">
        <v>7</v>
      </c>
      <c r="C67" s="516" t="s">
        <v>32</v>
      </c>
      <c r="D67" s="171">
        <f t="shared" ref="D67:O67" si="43">$I$3</f>
        <v>10</v>
      </c>
      <c r="E67" s="171">
        <f t="shared" si="43"/>
        <v>10</v>
      </c>
      <c r="F67" s="171">
        <f t="shared" si="43"/>
        <v>10</v>
      </c>
      <c r="G67" s="171">
        <f t="shared" si="43"/>
        <v>10</v>
      </c>
      <c r="H67" s="171">
        <f t="shared" si="43"/>
        <v>10</v>
      </c>
      <c r="I67" s="171">
        <f t="shared" si="43"/>
        <v>10</v>
      </c>
      <c r="J67" s="171">
        <f t="shared" si="43"/>
        <v>10</v>
      </c>
      <c r="K67" s="171">
        <f t="shared" si="43"/>
        <v>10</v>
      </c>
      <c r="L67" s="171">
        <f t="shared" si="43"/>
        <v>10</v>
      </c>
      <c r="M67" s="171">
        <f t="shared" si="43"/>
        <v>10</v>
      </c>
      <c r="N67" s="171">
        <f t="shared" si="43"/>
        <v>10</v>
      </c>
      <c r="O67" s="172">
        <f t="shared" si="43"/>
        <v>10</v>
      </c>
      <c r="P67" s="500"/>
      <c r="Q67" s="178">
        <f t="shared" ref="Q67:Q72" si="44">SUM(D67:O67)</f>
        <v>120</v>
      </c>
      <c r="R67" s="198" t="s">
        <v>32</v>
      </c>
      <c r="S67" s="178">
        <f>IF(AND($AL$13="Manual",AM25="OFF"),0,SUM(Y68:AJ68))</f>
        <v>315000</v>
      </c>
      <c r="T67" s="483" t="s">
        <v>287</v>
      </c>
      <c r="U67" s="490"/>
    </row>
    <row r="68" spans="1:36" ht="34.15" customHeight="1" x14ac:dyDescent="0.15">
      <c r="A68" s="487"/>
      <c r="B68" s="863"/>
      <c r="C68" s="516" t="s">
        <v>9</v>
      </c>
      <c r="D68" s="173">
        <f t="shared" ref="D68:O68" si="45">IF($S$1=1,$E$5*$I$3*$K$5,$E$5*$I$3*$K$5*$O$18)</f>
        <v>100000</v>
      </c>
      <c r="E68" s="173">
        <f t="shared" si="45"/>
        <v>100000</v>
      </c>
      <c r="F68" s="173">
        <f t="shared" si="45"/>
        <v>100000</v>
      </c>
      <c r="G68" s="173">
        <f t="shared" si="45"/>
        <v>100000</v>
      </c>
      <c r="H68" s="173">
        <f t="shared" si="45"/>
        <v>100000</v>
      </c>
      <c r="I68" s="173">
        <f t="shared" si="45"/>
        <v>100000</v>
      </c>
      <c r="J68" s="173">
        <f t="shared" si="45"/>
        <v>100000</v>
      </c>
      <c r="K68" s="173">
        <f t="shared" si="45"/>
        <v>100000</v>
      </c>
      <c r="L68" s="173">
        <f t="shared" si="45"/>
        <v>100000</v>
      </c>
      <c r="M68" s="173">
        <f t="shared" si="45"/>
        <v>100000</v>
      </c>
      <c r="N68" s="173">
        <f t="shared" si="45"/>
        <v>100000</v>
      </c>
      <c r="O68" s="174">
        <f t="shared" si="45"/>
        <v>100000</v>
      </c>
      <c r="P68" s="500"/>
      <c r="Q68" s="183">
        <f t="shared" si="44"/>
        <v>1200000</v>
      </c>
      <c r="R68" s="199" t="s">
        <v>77</v>
      </c>
      <c r="S68" s="183">
        <f>IF(AND($AL$13="Manual",AM26="OFF"),0,SUM(Y69:Z69))</f>
        <v>315000</v>
      </c>
      <c r="T68" s="484" t="s">
        <v>288</v>
      </c>
      <c r="U68" s="490"/>
      <c r="X68" s="179" t="s">
        <v>152</v>
      </c>
      <c r="Y68" s="180">
        <f>IF($B$14&lt;70%,0,
IF(D68*$AM$5&gt;64000,"35%",
IF(AND(D68*$AM$5&gt;32000,D68*$AM$5&lt;=64000),"30%",
IF(AND(D68*$AM$5&gt;16000,D68*$AM$5&lt;=32000),"25%",
IF(AND(D68*$AM$5&gt;8000,D68*$AM$5&lt;=16000),"20%",
0)))))*D68*$AM$5</f>
        <v>26250</v>
      </c>
      <c r="Z68" s="180">
        <f t="shared" ref="Z68:AJ68" si="46">IF($B$14&lt;70%,0,
IF(E68*$AM$5&gt;64000,"35%",
IF(AND(E68*$AM$5&gt;32000,E68*$AM$5&lt;=64000),"30%",
IF(AND(E68*$AM$5&gt;16000,E68*$AM$5&lt;=32000),"25%",
IF(AND(E68*$AM$5&gt;8000,E68*$AM$5&lt;=16000),"20%",
0)))))*E68*$AM$5</f>
        <v>26250</v>
      </c>
      <c r="AA68" s="180">
        <f t="shared" si="46"/>
        <v>26250</v>
      </c>
      <c r="AB68" s="180">
        <f t="shared" si="46"/>
        <v>26250</v>
      </c>
      <c r="AC68" s="180">
        <f t="shared" si="46"/>
        <v>26250</v>
      </c>
      <c r="AD68" s="180">
        <f t="shared" si="46"/>
        <v>26250</v>
      </c>
      <c r="AE68" s="180">
        <f t="shared" si="46"/>
        <v>26250</v>
      </c>
      <c r="AF68" s="180">
        <f t="shared" si="46"/>
        <v>26250</v>
      </c>
      <c r="AG68" s="180">
        <f t="shared" si="46"/>
        <v>26250</v>
      </c>
      <c r="AH68" s="180">
        <f t="shared" si="46"/>
        <v>26250</v>
      </c>
      <c r="AI68" s="180">
        <f t="shared" si="46"/>
        <v>26250</v>
      </c>
      <c r="AJ68" s="180">
        <f t="shared" si="46"/>
        <v>26250</v>
      </c>
    </row>
    <row r="69" spans="1:36" ht="34.15" customHeight="1" x14ac:dyDescent="0.15">
      <c r="A69" s="487"/>
      <c r="B69" s="863"/>
      <c r="C69" s="516" t="s">
        <v>3</v>
      </c>
      <c r="D69" s="173">
        <f t="shared" ref="D69:O69" si="47">IF($S$1=1,$E$5*$I$3,$E$5*$I$3*$O$18)</f>
        <v>250000</v>
      </c>
      <c r="E69" s="173">
        <f t="shared" si="47"/>
        <v>250000</v>
      </c>
      <c r="F69" s="173">
        <f t="shared" si="47"/>
        <v>250000</v>
      </c>
      <c r="G69" s="173">
        <f t="shared" si="47"/>
        <v>250000</v>
      </c>
      <c r="H69" s="173">
        <f t="shared" si="47"/>
        <v>250000</v>
      </c>
      <c r="I69" s="173">
        <f t="shared" si="47"/>
        <v>250000</v>
      </c>
      <c r="J69" s="173">
        <f t="shared" si="47"/>
        <v>250000</v>
      </c>
      <c r="K69" s="173">
        <f t="shared" si="47"/>
        <v>250000</v>
      </c>
      <c r="L69" s="173">
        <f t="shared" si="47"/>
        <v>250000</v>
      </c>
      <c r="M69" s="173">
        <f t="shared" si="47"/>
        <v>250000</v>
      </c>
      <c r="N69" s="173">
        <f t="shared" si="47"/>
        <v>250000</v>
      </c>
      <c r="O69" s="174">
        <f t="shared" si="47"/>
        <v>250000</v>
      </c>
      <c r="P69" s="500"/>
      <c r="Q69" s="183">
        <f t="shared" si="44"/>
        <v>3000000</v>
      </c>
      <c r="R69" s="199" t="s">
        <v>78</v>
      </c>
      <c r="S69" s="183">
        <f>IF(AND($AL$13="Manual",AM27="OFF"),0,Y71)</f>
        <v>518906.25</v>
      </c>
      <c r="T69" s="484" t="s">
        <v>161</v>
      </c>
      <c r="U69" s="490"/>
      <c r="X69" s="179" t="s">
        <v>242</v>
      </c>
      <c r="Y69" s="180">
        <f>IF(SUM(D68:I68)*$AM$5&gt;400000,"35%",
IF(AND(SUM(D68:I68)*$AM$5&gt;300000,SUM(D68:I68)*$AM$5&lt;=400000),"32.5%",
IF(AND(SUM(D68:I68)*$AM$5&gt;250000,SUM(D68:I68)*$AM$5&lt;=300000),"30%",
IF(AND(SUM(D68:I68)*$AM$5&gt;200000,SUM(D68:I68)*$AM$5&lt;=250000),"27.5%",
IF(AND(SUM(D68:I68)*$AM$5&gt;150000,SUM(D68:I68)*$AM$5&lt;=200000),"25%",
IF(AND(SUM(D68:I68)*$AM$5&gt;100000,SUM(D68:I68)*$AM$5&lt;=150000),"22.5%",
IF(AND(SUM(D68:I68)*$AM$5&gt;60000,SUM(D68:I68)*$AM$5&lt;=100000),"20%",
IF(AND(SUM(D68:I68)*$AM$5&gt;40000,SUM(D68:I68)*$AM$5&lt;=60000),"17.5%",
1))))))))*(IF($B$14&lt;70%,0%,IF(AND($B$14&gt;=70%,$B$14&lt;85%),100%,IF($B$14&gt;=85%,110%,))))*SUM(D68:I68)*$AM$5</f>
        <v>157500</v>
      </c>
      <c r="Z69" s="511">
        <f>IF(SUM(J68:O68)*$AM$5&gt;400000,"35%",
IF(AND(SUM(J68:O68)*$AM$5&gt;300000,SUM(J68:O68)*$AM$5&lt;=400000),"32.5%",
IF(AND(SUM(J68:O68)*$AM$5&gt;250000,SUM(J68:O68)*$AM$5&lt;=300000),"30%",
IF(AND(SUM(J68:O68)*$AM$5&gt;200000,SUM(J68:O68)*$AM$5&lt;=250000),"27.5%",
IF(AND(SUM(J68:O68)*$AM$5&gt;150000,SUM(J68:O68)*$AM$5&lt;=200000),"25%",
IF(AND(SUM(J68:O68)*$AM$5&gt;100000,SUM(J68:O68)*$AM$5&lt;=150000),"22.5%",
IF(AND(SUM(J68:O68)*$AM$5&gt;60000,SUM(J68:O68)*$AM$5&lt;=100000),"20%",
IF(AND(SUM(J68:O68)*$AM$5&gt;40000,SUM(J68:O68)*$AM$5&lt;=60000),"17.5%",
1))))))))*(IF($B$14&lt;70%,0%,IF(AND($B$14&gt;=70%,$B$14&lt;85%),100%,IF($B$14&gt;=85%,110%,))))*SUM(J68:O68)*$AM$5</f>
        <v>157500</v>
      </c>
      <c r="AA69" s="510"/>
      <c r="AB69" s="510"/>
      <c r="AC69" s="510"/>
      <c r="AD69" s="510"/>
      <c r="AE69" s="510"/>
      <c r="AF69" s="510"/>
      <c r="AG69" s="510"/>
      <c r="AH69" s="510"/>
      <c r="AI69" s="510"/>
      <c r="AJ69" s="510"/>
    </row>
    <row r="70" spans="1:36" ht="34.15" customHeight="1" x14ac:dyDescent="0.15">
      <c r="A70" s="487"/>
      <c r="B70" s="863"/>
      <c r="C70" s="516" t="s">
        <v>86</v>
      </c>
      <c r="D70" s="190">
        <f t="shared" ref="D70:O70" si="48">D60*$L$5*$B$14</f>
        <v>30000</v>
      </c>
      <c r="E70" s="190">
        <f t="shared" si="48"/>
        <v>30000</v>
      </c>
      <c r="F70" s="190">
        <f t="shared" si="48"/>
        <v>30000</v>
      </c>
      <c r="G70" s="190">
        <f t="shared" si="48"/>
        <v>30000</v>
      </c>
      <c r="H70" s="190">
        <f t="shared" si="48"/>
        <v>30000</v>
      </c>
      <c r="I70" s="190">
        <f t="shared" si="48"/>
        <v>30000</v>
      </c>
      <c r="J70" s="190">
        <f t="shared" si="48"/>
        <v>30000</v>
      </c>
      <c r="K70" s="190">
        <f t="shared" si="48"/>
        <v>30000</v>
      </c>
      <c r="L70" s="190">
        <f t="shared" si="48"/>
        <v>30000</v>
      </c>
      <c r="M70" s="190">
        <f t="shared" si="48"/>
        <v>30000</v>
      </c>
      <c r="N70" s="190">
        <f t="shared" si="48"/>
        <v>30000</v>
      </c>
      <c r="O70" s="191">
        <f t="shared" si="48"/>
        <v>30000</v>
      </c>
      <c r="P70" s="500"/>
      <c r="Q70" s="194">
        <f t="shared" si="44"/>
        <v>360000</v>
      </c>
      <c r="R70" s="202" t="s">
        <v>86</v>
      </c>
      <c r="S70" s="184">
        <f>Y72</f>
        <v>0</v>
      </c>
      <c r="T70" s="484" t="s">
        <v>286</v>
      </c>
      <c r="U70" s="490"/>
      <c r="X70" s="179" t="s">
        <v>155</v>
      </c>
      <c r="Y70" s="512"/>
      <c r="AA70" s="170"/>
      <c r="AB70" s="170"/>
      <c r="AC70" s="170"/>
    </row>
    <row r="71" spans="1:36" ht="34.15" customHeight="1" thickBot="1" x14ac:dyDescent="0.2">
      <c r="A71" s="487"/>
      <c r="B71" s="863"/>
      <c r="C71" s="516" t="s">
        <v>84</v>
      </c>
      <c r="D71" s="190">
        <f t="shared" ref="D71:O71" si="49">D51*$M$5*$B$14</f>
        <v>18750</v>
      </c>
      <c r="E71" s="190">
        <f t="shared" si="49"/>
        <v>18750</v>
      </c>
      <c r="F71" s="190">
        <f t="shared" si="49"/>
        <v>18750</v>
      </c>
      <c r="G71" s="190">
        <f t="shared" si="49"/>
        <v>18750</v>
      </c>
      <c r="H71" s="190">
        <f t="shared" si="49"/>
        <v>18750</v>
      </c>
      <c r="I71" s="190">
        <f t="shared" si="49"/>
        <v>18750</v>
      </c>
      <c r="J71" s="190">
        <f t="shared" si="49"/>
        <v>18750</v>
      </c>
      <c r="K71" s="190">
        <f t="shared" si="49"/>
        <v>18750</v>
      </c>
      <c r="L71" s="190">
        <f t="shared" si="49"/>
        <v>18750</v>
      </c>
      <c r="M71" s="190">
        <f t="shared" si="49"/>
        <v>18750</v>
      </c>
      <c r="N71" s="190">
        <f t="shared" si="49"/>
        <v>18750</v>
      </c>
      <c r="O71" s="191">
        <f t="shared" si="49"/>
        <v>18750</v>
      </c>
      <c r="P71" s="500"/>
      <c r="Q71" s="194">
        <f t="shared" si="44"/>
        <v>225000</v>
      </c>
      <c r="R71" s="202" t="s">
        <v>84</v>
      </c>
      <c r="S71" s="187">
        <f>IF(AND($AL$13="Manual",AM29="OFF"),0,Y73)</f>
        <v>45000</v>
      </c>
      <c r="T71" s="485" t="s">
        <v>285</v>
      </c>
      <c r="U71" s="490"/>
      <c r="X71" s="179" t="s">
        <v>153</v>
      </c>
      <c r="Y71" s="180">
        <f>IF(AND(Q59*$AM$5&gt;=200000,$B$14&gt;=85%),SUM(Q61:Q63)*$B$14*$B$10*110%,IF(AND(Q59*$AM$5&gt;=100000,$B$14&gt;=75%),SUM(Q61:Q63)*$B$14*$B$10*100%,0))</f>
        <v>518906.25</v>
      </c>
      <c r="AA71" s="170"/>
      <c r="AB71" s="170"/>
      <c r="AC71" s="170"/>
    </row>
    <row r="72" spans="1:36" ht="34.15" customHeight="1" thickBot="1" x14ac:dyDescent="0.2">
      <c r="A72" s="487"/>
      <c r="B72" s="835"/>
      <c r="C72" s="517" t="s">
        <v>87</v>
      </c>
      <c r="D72" s="192">
        <f t="shared" ref="D72:O72" si="50">SUM(D21*$R$5*$B$14,D27*$Q$5*$B$14,D34*$O$5*$B$14,D42*$N$5*$B$14)</f>
        <v>37500</v>
      </c>
      <c r="E72" s="192">
        <f t="shared" si="50"/>
        <v>37500</v>
      </c>
      <c r="F72" s="192">
        <f t="shared" si="50"/>
        <v>37500</v>
      </c>
      <c r="G72" s="192">
        <f t="shared" si="50"/>
        <v>37500</v>
      </c>
      <c r="H72" s="192">
        <f t="shared" si="50"/>
        <v>37500</v>
      </c>
      <c r="I72" s="192">
        <f t="shared" si="50"/>
        <v>37500</v>
      </c>
      <c r="J72" s="192">
        <f t="shared" si="50"/>
        <v>37500</v>
      </c>
      <c r="K72" s="192">
        <f t="shared" si="50"/>
        <v>37500</v>
      </c>
      <c r="L72" s="192">
        <f t="shared" si="50"/>
        <v>37500</v>
      </c>
      <c r="M72" s="192">
        <f t="shared" si="50"/>
        <v>37500</v>
      </c>
      <c r="N72" s="192">
        <f t="shared" si="50"/>
        <v>37500</v>
      </c>
      <c r="O72" s="193">
        <f t="shared" si="50"/>
        <v>37500</v>
      </c>
      <c r="P72" s="500"/>
      <c r="Q72" s="195">
        <f t="shared" si="44"/>
        <v>450000</v>
      </c>
      <c r="R72" s="201" t="s">
        <v>87</v>
      </c>
      <c r="S72" s="490"/>
      <c r="T72" s="496"/>
      <c r="U72" s="490"/>
      <c r="X72" s="179" t="s">
        <v>243</v>
      </c>
      <c r="Y72" s="512"/>
      <c r="AA72" s="170"/>
      <c r="AB72" s="170"/>
      <c r="AC72" s="170"/>
    </row>
    <row r="73" spans="1:36" x14ac:dyDescent="0.15">
      <c r="A73" s="487"/>
      <c r="B73" s="490"/>
      <c r="C73" s="490"/>
      <c r="D73" s="490"/>
      <c r="E73" s="490"/>
      <c r="F73" s="490"/>
      <c r="G73" s="490"/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6"/>
      <c r="S73" s="490"/>
      <c r="T73" s="496"/>
      <c r="U73" s="490"/>
      <c r="X73" s="179" t="s">
        <v>244</v>
      </c>
      <c r="Y73" s="180">
        <f>SUM(D68:O68)*$AM$5*5%</f>
        <v>45000</v>
      </c>
      <c r="AA73" s="170"/>
      <c r="AB73" s="170"/>
      <c r="AC73" s="170"/>
    </row>
    <row r="74" spans="1:36" x14ac:dyDescent="0.15">
      <c r="A74" s="491"/>
      <c r="B74" s="492"/>
      <c r="C74" s="492"/>
      <c r="D74" s="492"/>
      <c r="E74" s="492"/>
      <c r="F74" s="492"/>
      <c r="G74" s="492"/>
      <c r="H74" s="492"/>
      <c r="I74" s="492"/>
      <c r="J74" s="492"/>
      <c r="K74" s="492"/>
      <c r="L74" s="492"/>
      <c r="M74" s="492"/>
      <c r="N74" s="492"/>
      <c r="O74" s="492"/>
      <c r="P74" s="492"/>
      <c r="Q74" s="492"/>
      <c r="R74" s="493"/>
      <c r="S74" s="492"/>
      <c r="T74" s="493"/>
      <c r="U74" s="492"/>
    </row>
    <row r="75" spans="1:36" x14ac:dyDescent="0.15">
      <c r="A75" s="491"/>
      <c r="B75" s="492"/>
      <c r="C75" s="492"/>
      <c r="D75" s="492"/>
      <c r="E75" s="492"/>
      <c r="F75" s="492"/>
      <c r="G75" s="492"/>
      <c r="H75" s="492"/>
      <c r="I75" s="492"/>
      <c r="J75" s="492"/>
      <c r="K75" s="492"/>
      <c r="L75" s="492"/>
      <c r="M75" s="492"/>
      <c r="N75" s="492"/>
      <c r="O75" s="492"/>
      <c r="P75" s="492"/>
      <c r="Q75" s="492"/>
      <c r="R75" s="493"/>
      <c r="S75" s="492"/>
      <c r="T75" s="493"/>
      <c r="U75" s="492"/>
    </row>
    <row r="76" spans="1:36" x14ac:dyDescent="0.15">
      <c r="B76" s="170"/>
      <c r="U76" s="170"/>
    </row>
    <row r="77" spans="1:36" x14ac:dyDescent="0.15">
      <c r="B77" s="170"/>
      <c r="U77" s="170"/>
    </row>
    <row r="78" spans="1:36" x14ac:dyDescent="0.15">
      <c r="B78" s="170"/>
      <c r="U78" s="170"/>
    </row>
    <row r="81" spans="2:41" s="170" customFormat="1" x14ac:dyDescent="0.15">
      <c r="B81" s="167"/>
      <c r="C81" s="188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89"/>
      <c r="S81" s="167"/>
      <c r="T81" s="167"/>
      <c r="U81" s="167"/>
      <c r="V81" s="167"/>
      <c r="X81" s="167"/>
      <c r="Y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</row>
    <row r="82" spans="2:41" s="170" customFormat="1" x14ac:dyDescent="0.15">
      <c r="B82" s="167"/>
      <c r="C82" s="188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89"/>
      <c r="S82" s="167"/>
      <c r="T82" s="167"/>
      <c r="U82" s="167"/>
      <c r="V82" s="167"/>
      <c r="AL82" s="167"/>
      <c r="AM82" s="167"/>
      <c r="AN82" s="167"/>
      <c r="AO82" s="167"/>
    </row>
    <row r="83" spans="2:41" s="170" customFormat="1" x14ac:dyDescent="0.15">
      <c r="B83" s="167"/>
      <c r="C83" s="188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89"/>
      <c r="S83" s="167"/>
      <c r="T83" s="167"/>
      <c r="U83" s="167"/>
      <c r="V83" s="167"/>
      <c r="AL83" s="167"/>
      <c r="AM83" s="167"/>
      <c r="AN83" s="167"/>
      <c r="AO83" s="167"/>
    </row>
    <row r="84" spans="2:41" s="170" customFormat="1" x14ac:dyDescent="0.15">
      <c r="B84" s="167"/>
      <c r="C84" s="188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89"/>
      <c r="S84" s="167"/>
      <c r="T84" s="167"/>
      <c r="U84" s="167"/>
      <c r="V84" s="167"/>
      <c r="AL84" s="167"/>
      <c r="AM84" s="167"/>
    </row>
    <row r="85" spans="2:41" s="170" customFormat="1" x14ac:dyDescent="0.15">
      <c r="B85" s="167"/>
      <c r="C85" s="188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89"/>
      <c r="S85" s="167"/>
      <c r="T85" s="167"/>
      <c r="U85" s="167"/>
      <c r="V85" s="167"/>
    </row>
    <row r="86" spans="2:41" s="170" customFormat="1" x14ac:dyDescent="0.15">
      <c r="B86" s="167"/>
      <c r="C86" s="188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89"/>
      <c r="S86" s="167"/>
      <c r="T86" s="167"/>
      <c r="U86" s="167"/>
      <c r="V86" s="167"/>
    </row>
    <row r="87" spans="2:41" s="170" customFormat="1" x14ac:dyDescent="0.15">
      <c r="B87" s="167"/>
      <c r="C87" s="188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89"/>
      <c r="S87" s="167"/>
      <c r="T87" s="167"/>
      <c r="U87" s="167"/>
      <c r="V87" s="167"/>
    </row>
    <row r="88" spans="2:41" s="170" customFormat="1" x14ac:dyDescent="0.15">
      <c r="B88" s="167"/>
      <c r="C88" s="188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89"/>
      <c r="S88" s="167"/>
      <c r="T88" s="167"/>
      <c r="U88" s="167"/>
      <c r="V88" s="167"/>
    </row>
    <row r="89" spans="2:41" s="170" customFormat="1" x14ac:dyDescent="0.15">
      <c r="B89" s="167"/>
      <c r="C89" s="188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89"/>
      <c r="S89" s="167"/>
      <c r="T89" s="167"/>
      <c r="U89" s="167"/>
      <c r="V89" s="167"/>
    </row>
    <row r="90" spans="2:41" s="170" customFormat="1" x14ac:dyDescent="0.15">
      <c r="B90" s="167"/>
      <c r="C90" s="188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89"/>
      <c r="S90" s="167"/>
      <c r="T90" s="167"/>
      <c r="U90" s="167"/>
      <c r="V90" s="167"/>
    </row>
    <row r="91" spans="2:41" s="170" customFormat="1" x14ac:dyDescent="0.15">
      <c r="B91" s="167"/>
      <c r="C91" s="188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89"/>
      <c r="S91" s="167"/>
      <c r="T91" s="167"/>
      <c r="U91" s="167"/>
      <c r="V91" s="167"/>
    </row>
    <row r="92" spans="2:41" s="170" customFormat="1" x14ac:dyDescent="0.15">
      <c r="B92" s="167"/>
      <c r="C92" s="188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89"/>
      <c r="S92" s="167"/>
      <c r="T92" s="167"/>
      <c r="U92" s="167"/>
      <c r="V92" s="167"/>
    </row>
    <row r="93" spans="2:41" s="170" customFormat="1" x14ac:dyDescent="0.15">
      <c r="B93" s="167"/>
      <c r="C93" s="188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89"/>
      <c r="S93" s="167"/>
      <c r="T93" s="167"/>
      <c r="U93" s="167"/>
      <c r="V93" s="167"/>
    </row>
    <row r="94" spans="2:41" s="170" customFormat="1" x14ac:dyDescent="0.15">
      <c r="B94" s="167"/>
      <c r="C94" s="188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89"/>
      <c r="S94" s="167"/>
      <c r="T94" s="167"/>
      <c r="U94" s="167"/>
      <c r="V94" s="167"/>
    </row>
    <row r="95" spans="2:41" s="170" customFormat="1" x14ac:dyDescent="0.15">
      <c r="B95" s="167"/>
      <c r="C95" s="188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89"/>
      <c r="S95" s="167"/>
      <c r="T95" s="167"/>
      <c r="U95" s="167"/>
      <c r="V95" s="167"/>
    </row>
    <row r="96" spans="2:41" s="170" customFormat="1" x14ac:dyDescent="0.15">
      <c r="B96" s="167"/>
      <c r="C96" s="188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89"/>
      <c r="S96" s="167"/>
      <c r="T96" s="167"/>
      <c r="U96" s="167"/>
      <c r="V96" s="167"/>
    </row>
    <row r="97" spans="2:22" s="170" customFormat="1" x14ac:dyDescent="0.15">
      <c r="B97" s="167"/>
      <c r="C97" s="188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89"/>
      <c r="S97" s="167"/>
      <c r="T97" s="167"/>
      <c r="U97" s="167"/>
      <c r="V97" s="167"/>
    </row>
    <row r="98" spans="2:22" s="170" customFormat="1" x14ac:dyDescent="0.15">
      <c r="B98" s="167"/>
      <c r="C98" s="188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89"/>
      <c r="S98" s="167"/>
      <c r="T98" s="167"/>
      <c r="U98" s="167"/>
      <c r="V98" s="167"/>
    </row>
    <row r="99" spans="2:22" s="170" customFormat="1" x14ac:dyDescent="0.15">
      <c r="B99" s="167"/>
      <c r="C99" s="188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89"/>
      <c r="S99" s="167"/>
      <c r="T99" s="167"/>
      <c r="U99" s="167"/>
      <c r="V99" s="167"/>
    </row>
    <row r="100" spans="2:22" s="170" customFormat="1" x14ac:dyDescent="0.15">
      <c r="B100" s="167"/>
      <c r="C100" s="188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89"/>
      <c r="S100" s="167"/>
      <c r="T100" s="167"/>
      <c r="U100" s="167"/>
      <c r="V100" s="167"/>
    </row>
    <row r="101" spans="2:22" s="170" customFormat="1" x14ac:dyDescent="0.15">
      <c r="B101" s="167"/>
      <c r="C101" s="188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89"/>
      <c r="S101" s="167"/>
      <c r="T101" s="167"/>
      <c r="U101" s="167"/>
      <c r="V101" s="167"/>
    </row>
    <row r="102" spans="2:22" s="170" customFormat="1" x14ac:dyDescent="0.15">
      <c r="B102" s="167"/>
      <c r="C102" s="188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89"/>
      <c r="S102" s="167"/>
      <c r="T102" s="167"/>
      <c r="U102" s="167"/>
      <c r="V102" s="167"/>
    </row>
    <row r="103" spans="2:22" s="170" customFormat="1" x14ac:dyDescent="0.15">
      <c r="B103" s="167"/>
      <c r="C103" s="188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89"/>
      <c r="S103" s="167"/>
      <c r="T103" s="167"/>
      <c r="U103" s="167"/>
      <c r="V103" s="167"/>
    </row>
    <row r="104" spans="2:22" s="170" customFormat="1" x14ac:dyDescent="0.15">
      <c r="B104" s="167"/>
      <c r="C104" s="188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89"/>
      <c r="S104" s="167"/>
      <c r="T104" s="167"/>
      <c r="U104" s="167"/>
      <c r="V104" s="167"/>
    </row>
    <row r="105" spans="2:22" s="170" customFormat="1" x14ac:dyDescent="0.15">
      <c r="B105" s="167"/>
      <c r="C105" s="188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89"/>
      <c r="S105" s="167"/>
      <c r="T105" s="167"/>
      <c r="U105" s="167"/>
      <c r="V105" s="167"/>
    </row>
    <row r="106" spans="2:22" s="170" customFormat="1" x14ac:dyDescent="0.15">
      <c r="B106" s="167"/>
      <c r="C106" s="188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89"/>
      <c r="S106" s="167"/>
      <c r="T106" s="167"/>
      <c r="U106" s="167"/>
      <c r="V106" s="167"/>
    </row>
    <row r="107" spans="2:22" s="170" customFormat="1" x14ac:dyDescent="0.15">
      <c r="B107" s="167"/>
      <c r="C107" s="188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89"/>
      <c r="S107" s="167"/>
      <c r="T107" s="167"/>
      <c r="U107" s="167"/>
      <c r="V107" s="167"/>
    </row>
    <row r="108" spans="2:22" s="170" customFormat="1" x14ac:dyDescent="0.15">
      <c r="B108" s="167"/>
      <c r="C108" s="188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89"/>
      <c r="S108" s="167"/>
      <c r="T108" s="167"/>
      <c r="U108" s="167"/>
      <c r="V108" s="167"/>
    </row>
    <row r="109" spans="2:22" s="170" customFormat="1" x14ac:dyDescent="0.15">
      <c r="B109" s="167"/>
      <c r="C109" s="188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89"/>
      <c r="S109" s="167"/>
      <c r="T109" s="167"/>
      <c r="U109" s="167"/>
      <c r="V109" s="167"/>
    </row>
    <row r="110" spans="2:22" s="170" customFormat="1" x14ac:dyDescent="0.15">
      <c r="B110" s="167"/>
      <c r="C110" s="188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89"/>
      <c r="S110" s="167"/>
      <c r="T110" s="167"/>
      <c r="U110" s="167"/>
      <c r="V110" s="167"/>
    </row>
    <row r="111" spans="2:22" s="170" customFormat="1" x14ac:dyDescent="0.15">
      <c r="B111" s="167"/>
      <c r="C111" s="188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89"/>
      <c r="S111" s="167"/>
      <c r="T111" s="167"/>
      <c r="U111" s="167"/>
      <c r="V111" s="167"/>
    </row>
    <row r="112" spans="2:22" s="170" customFormat="1" x14ac:dyDescent="0.15">
      <c r="B112" s="167"/>
      <c r="C112" s="188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89"/>
      <c r="S112" s="167"/>
      <c r="T112" s="167"/>
      <c r="U112" s="167"/>
      <c r="V112" s="167"/>
    </row>
    <row r="113" spans="2:41" s="170" customFormat="1" x14ac:dyDescent="0.15">
      <c r="B113" s="167"/>
      <c r="C113" s="188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89"/>
      <c r="S113" s="167"/>
      <c r="T113" s="167"/>
      <c r="U113" s="167"/>
      <c r="V113" s="167"/>
    </row>
    <row r="114" spans="2:41" s="170" customFormat="1" x14ac:dyDescent="0.15">
      <c r="B114" s="167"/>
      <c r="C114" s="188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89"/>
      <c r="S114" s="167"/>
      <c r="T114" s="167"/>
      <c r="U114" s="167"/>
      <c r="V114" s="167"/>
    </row>
    <row r="115" spans="2:41" s="170" customFormat="1" x14ac:dyDescent="0.15">
      <c r="B115" s="167"/>
      <c r="C115" s="188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89"/>
      <c r="S115" s="167"/>
      <c r="T115" s="167"/>
      <c r="U115" s="167"/>
      <c r="V115" s="167"/>
    </row>
    <row r="116" spans="2:41" s="170" customFormat="1" x14ac:dyDescent="0.15">
      <c r="B116" s="167"/>
      <c r="C116" s="188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89"/>
      <c r="S116" s="167"/>
      <c r="T116" s="167"/>
      <c r="U116" s="167"/>
      <c r="V116" s="167"/>
    </row>
    <row r="117" spans="2:41" x14ac:dyDescent="0.15">
      <c r="X117" s="170"/>
      <c r="Y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</row>
    <row r="118" spans="2:41" x14ac:dyDescent="0.15">
      <c r="AL118" s="170"/>
      <c r="AM118" s="170"/>
      <c r="AN118" s="170"/>
      <c r="AO118" s="170"/>
    </row>
    <row r="119" spans="2:41" x14ac:dyDescent="0.15">
      <c r="AL119" s="170"/>
      <c r="AM119" s="170"/>
      <c r="AN119" s="170"/>
      <c r="AO119" s="170"/>
    </row>
    <row r="120" spans="2:41" x14ac:dyDescent="0.15">
      <c r="AL120" s="170"/>
      <c r="AM120" s="170"/>
    </row>
    <row r="123" spans="2:41" s="170" customFormat="1" x14ac:dyDescent="0.15">
      <c r="B123" s="167"/>
      <c r="C123" s="188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89"/>
      <c r="S123" s="167"/>
      <c r="T123" s="167"/>
      <c r="U123" s="167"/>
      <c r="V123" s="167"/>
      <c r="X123" s="167"/>
      <c r="Y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</row>
    <row r="124" spans="2:41" s="170" customFormat="1" x14ac:dyDescent="0.15">
      <c r="B124" s="167"/>
      <c r="C124" s="188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89"/>
      <c r="S124" s="167"/>
      <c r="T124" s="167"/>
      <c r="U124" s="167"/>
      <c r="V124" s="167"/>
      <c r="AL124" s="167"/>
      <c r="AM124" s="167"/>
      <c r="AN124" s="167"/>
      <c r="AO124" s="167"/>
    </row>
    <row r="125" spans="2:41" s="170" customFormat="1" x14ac:dyDescent="0.15">
      <c r="B125" s="167"/>
      <c r="C125" s="188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89"/>
      <c r="S125" s="167"/>
      <c r="T125" s="167"/>
      <c r="U125" s="167"/>
      <c r="V125" s="167"/>
      <c r="AL125" s="167"/>
      <c r="AM125" s="167"/>
      <c r="AN125" s="167"/>
      <c r="AO125" s="167"/>
    </row>
    <row r="126" spans="2:41" s="170" customFormat="1" x14ac:dyDescent="0.15">
      <c r="B126" s="167"/>
      <c r="C126" s="188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89"/>
      <c r="S126" s="167"/>
      <c r="T126" s="167"/>
      <c r="U126" s="167"/>
      <c r="V126" s="167"/>
      <c r="AL126" s="167"/>
      <c r="AM126" s="167"/>
    </row>
    <row r="127" spans="2:41" s="170" customFormat="1" x14ac:dyDescent="0.15">
      <c r="B127" s="167"/>
      <c r="C127" s="188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89"/>
      <c r="S127" s="167"/>
      <c r="T127" s="167"/>
      <c r="U127" s="167"/>
      <c r="V127" s="167"/>
    </row>
    <row r="128" spans="2:41" s="170" customFormat="1" x14ac:dyDescent="0.15">
      <c r="B128" s="167"/>
      <c r="C128" s="188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89"/>
      <c r="S128" s="167"/>
      <c r="T128" s="167"/>
      <c r="U128" s="167"/>
      <c r="V128" s="167"/>
    </row>
    <row r="129" spans="2:22" s="170" customFormat="1" x14ac:dyDescent="0.15">
      <c r="B129" s="167"/>
      <c r="C129" s="188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89"/>
      <c r="S129" s="167"/>
      <c r="T129" s="167"/>
      <c r="U129" s="167"/>
      <c r="V129" s="167"/>
    </row>
    <row r="130" spans="2:22" s="170" customFormat="1" x14ac:dyDescent="0.15">
      <c r="B130" s="167"/>
      <c r="C130" s="188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89"/>
      <c r="S130" s="167"/>
      <c r="T130" s="167"/>
      <c r="U130" s="167"/>
      <c r="V130" s="167"/>
    </row>
    <row r="131" spans="2:22" s="170" customFormat="1" x14ac:dyDescent="0.15">
      <c r="B131" s="167"/>
      <c r="C131" s="188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89"/>
      <c r="S131" s="167"/>
      <c r="T131" s="167"/>
      <c r="U131" s="167"/>
      <c r="V131" s="167"/>
    </row>
    <row r="132" spans="2:22" s="170" customFormat="1" x14ac:dyDescent="0.15">
      <c r="B132" s="167"/>
      <c r="C132" s="188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89"/>
      <c r="S132" s="167"/>
      <c r="T132" s="167"/>
      <c r="U132" s="167"/>
      <c r="V132" s="167"/>
    </row>
    <row r="133" spans="2:22" s="170" customFormat="1" x14ac:dyDescent="0.15">
      <c r="B133" s="167"/>
      <c r="C133" s="188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89"/>
      <c r="S133" s="167"/>
      <c r="T133" s="167"/>
      <c r="U133" s="167"/>
      <c r="V133" s="167"/>
    </row>
    <row r="134" spans="2:22" s="170" customFormat="1" x14ac:dyDescent="0.15">
      <c r="B134" s="167"/>
      <c r="C134" s="188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89"/>
      <c r="S134" s="167"/>
      <c r="T134" s="167"/>
      <c r="U134" s="167"/>
      <c r="V134" s="167"/>
    </row>
    <row r="135" spans="2:22" s="170" customFormat="1" x14ac:dyDescent="0.15">
      <c r="B135" s="167"/>
      <c r="C135" s="188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89"/>
      <c r="S135" s="167"/>
      <c r="T135" s="167"/>
      <c r="U135" s="167"/>
      <c r="V135" s="167"/>
    </row>
    <row r="136" spans="2:22" s="170" customFormat="1" x14ac:dyDescent="0.15">
      <c r="B136" s="167"/>
      <c r="C136" s="188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89"/>
      <c r="S136" s="167"/>
      <c r="T136" s="167"/>
      <c r="U136" s="167"/>
      <c r="V136" s="167"/>
    </row>
    <row r="137" spans="2:22" s="170" customFormat="1" x14ac:dyDescent="0.15">
      <c r="B137" s="167"/>
      <c r="C137" s="188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89"/>
      <c r="S137" s="167"/>
      <c r="T137" s="167"/>
      <c r="U137" s="167"/>
      <c r="V137" s="167"/>
    </row>
    <row r="138" spans="2:22" s="170" customFormat="1" x14ac:dyDescent="0.15">
      <c r="B138" s="167"/>
      <c r="C138" s="188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89"/>
      <c r="S138" s="167"/>
      <c r="T138" s="167"/>
      <c r="U138" s="167"/>
      <c r="V138" s="167"/>
    </row>
    <row r="139" spans="2:22" s="170" customFormat="1" x14ac:dyDescent="0.15">
      <c r="B139" s="167"/>
      <c r="C139" s="188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89"/>
      <c r="S139" s="167"/>
      <c r="T139" s="167"/>
      <c r="U139" s="167"/>
      <c r="V139" s="167"/>
    </row>
    <row r="140" spans="2:22" s="170" customFormat="1" x14ac:dyDescent="0.15">
      <c r="B140" s="167"/>
      <c r="C140" s="188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89"/>
      <c r="S140" s="167"/>
      <c r="T140" s="167"/>
      <c r="U140" s="167"/>
      <c r="V140" s="167"/>
    </row>
    <row r="141" spans="2:22" s="170" customFormat="1" x14ac:dyDescent="0.15">
      <c r="B141" s="167"/>
      <c r="C141" s="188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89"/>
      <c r="S141" s="167"/>
      <c r="T141" s="167"/>
      <c r="U141" s="167"/>
      <c r="V141" s="167"/>
    </row>
    <row r="142" spans="2:22" s="170" customFormat="1" x14ac:dyDescent="0.15">
      <c r="B142" s="167"/>
      <c r="C142" s="188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89"/>
      <c r="S142" s="167"/>
      <c r="T142" s="167"/>
      <c r="U142" s="167"/>
      <c r="V142" s="167"/>
    </row>
    <row r="143" spans="2:22" s="170" customFormat="1" x14ac:dyDescent="0.15">
      <c r="B143" s="167"/>
      <c r="C143" s="188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89"/>
      <c r="S143" s="167"/>
      <c r="T143" s="167"/>
      <c r="U143" s="167"/>
      <c r="V143" s="167"/>
    </row>
    <row r="144" spans="2:22" s="170" customFormat="1" x14ac:dyDescent="0.15">
      <c r="B144" s="167"/>
      <c r="C144" s="188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89"/>
      <c r="S144" s="167"/>
      <c r="T144" s="167"/>
      <c r="U144" s="167"/>
      <c r="V144" s="167"/>
    </row>
    <row r="145" spans="2:22" s="170" customFormat="1" x14ac:dyDescent="0.15">
      <c r="B145" s="167"/>
      <c r="C145" s="188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89"/>
      <c r="S145" s="167"/>
      <c r="T145" s="167"/>
      <c r="U145" s="167"/>
      <c r="V145" s="167"/>
    </row>
    <row r="146" spans="2:22" s="170" customFormat="1" x14ac:dyDescent="0.15">
      <c r="B146" s="167"/>
      <c r="C146" s="188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89"/>
      <c r="S146" s="167"/>
      <c r="T146" s="167"/>
      <c r="U146" s="167"/>
      <c r="V146" s="167"/>
    </row>
    <row r="147" spans="2:22" s="170" customFormat="1" x14ac:dyDescent="0.15">
      <c r="B147" s="167"/>
      <c r="C147" s="188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89"/>
      <c r="S147" s="167"/>
      <c r="T147" s="167"/>
      <c r="U147" s="167"/>
      <c r="V147" s="167"/>
    </row>
    <row r="148" spans="2:22" s="170" customFormat="1" x14ac:dyDescent="0.15">
      <c r="B148" s="167"/>
      <c r="C148" s="188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89"/>
      <c r="S148" s="167"/>
      <c r="T148" s="167"/>
      <c r="U148" s="167"/>
      <c r="V148" s="167"/>
    </row>
    <row r="149" spans="2:22" s="170" customFormat="1" x14ac:dyDescent="0.15">
      <c r="B149" s="167"/>
      <c r="C149" s="188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89"/>
      <c r="S149" s="167"/>
      <c r="T149" s="167"/>
      <c r="U149" s="167"/>
      <c r="V149" s="167"/>
    </row>
    <row r="150" spans="2:22" s="170" customFormat="1" x14ac:dyDescent="0.15">
      <c r="B150" s="167"/>
      <c r="C150" s="188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89"/>
      <c r="S150" s="167"/>
      <c r="T150" s="167"/>
      <c r="U150" s="167"/>
      <c r="V150" s="167"/>
    </row>
    <row r="151" spans="2:22" s="170" customFormat="1" x14ac:dyDescent="0.15">
      <c r="B151" s="167"/>
      <c r="C151" s="188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89"/>
      <c r="S151" s="167"/>
      <c r="T151" s="167"/>
      <c r="U151" s="167"/>
      <c r="V151" s="167"/>
    </row>
    <row r="152" spans="2:22" s="170" customFormat="1" x14ac:dyDescent="0.15">
      <c r="B152" s="167"/>
      <c r="C152" s="188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89"/>
      <c r="S152" s="167"/>
      <c r="T152" s="167"/>
      <c r="U152" s="167"/>
      <c r="V152" s="167"/>
    </row>
    <row r="153" spans="2:22" s="170" customFormat="1" x14ac:dyDescent="0.15">
      <c r="B153" s="167"/>
      <c r="C153" s="188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89"/>
      <c r="S153" s="167"/>
      <c r="T153" s="167"/>
      <c r="U153" s="167"/>
      <c r="V153" s="167"/>
    </row>
    <row r="154" spans="2:22" s="170" customFormat="1" x14ac:dyDescent="0.15">
      <c r="B154" s="167"/>
      <c r="C154" s="188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89"/>
      <c r="S154" s="167"/>
      <c r="T154" s="167"/>
      <c r="U154" s="167"/>
      <c r="V154" s="167"/>
    </row>
    <row r="155" spans="2:22" s="170" customFormat="1" x14ac:dyDescent="0.15">
      <c r="B155" s="167"/>
      <c r="C155" s="188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89"/>
      <c r="S155" s="167"/>
      <c r="T155" s="167"/>
      <c r="U155" s="167"/>
      <c r="V155" s="167"/>
    </row>
    <row r="156" spans="2:22" s="170" customFormat="1" x14ac:dyDescent="0.15">
      <c r="B156" s="167"/>
      <c r="C156" s="188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89"/>
      <c r="S156" s="167"/>
      <c r="T156" s="167"/>
      <c r="U156" s="167"/>
      <c r="V156" s="167"/>
    </row>
    <row r="157" spans="2:22" s="170" customFormat="1" x14ac:dyDescent="0.15">
      <c r="B157" s="167"/>
      <c r="C157" s="188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89"/>
      <c r="S157" s="167"/>
      <c r="T157" s="167"/>
      <c r="U157" s="167"/>
      <c r="V157" s="167"/>
    </row>
    <row r="158" spans="2:22" s="170" customFormat="1" x14ac:dyDescent="0.15">
      <c r="B158" s="167"/>
      <c r="C158" s="188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89"/>
      <c r="S158" s="167"/>
      <c r="T158" s="167"/>
      <c r="U158" s="167"/>
      <c r="V158" s="167"/>
    </row>
    <row r="159" spans="2:22" s="170" customFormat="1" x14ac:dyDescent="0.15">
      <c r="B159" s="167"/>
      <c r="C159" s="188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89"/>
      <c r="S159" s="167"/>
      <c r="T159" s="167"/>
      <c r="U159" s="167"/>
      <c r="V159" s="167"/>
    </row>
    <row r="160" spans="2:22" s="170" customFormat="1" x14ac:dyDescent="0.15">
      <c r="B160" s="167"/>
      <c r="C160" s="188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89"/>
      <c r="S160" s="167"/>
      <c r="T160" s="167"/>
      <c r="U160" s="167"/>
      <c r="V160" s="167"/>
    </row>
    <row r="161" spans="2:41" s="170" customFormat="1" x14ac:dyDescent="0.15">
      <c r="B161" s="167"/>
      <c r="C161" s="188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89"/>
      <c r="S161" s="167"/>
      <c r="T161" s="167"/>
      <c r="U161" s="167"/>
      <c r="V161" s="167"/>
    </row>
    <row r="162" spans="2:41" s="170" customFormat="1" x14ac:dyDescent="0.15">
      <c r="B162" s="167"/>
      <c r="C162" s="188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89"/>
      <c r="S162" s="167"/>
      <c r="T162" s="167"/>
      <c r="U162" s="167"/>
      <c r="V162" s="167"/>
    </row>
    <row r="163" spans="2:41" s="170" customFormat="1" x14ac:dyDescent="0.15">
      <c r="B163" s="167"/>
      <c r="C163" s="188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89"/>
      <c r="S163" s="167"/>
      <c r="T163" s="167"/>
      <c r="U163" s="167"/>
      <c r="V163" s="167"/>
    </row>
    <row r="164" spans="2:41" x14ac:dyDescent="0.15">
      <c r="X164" s="170"/>
      <c r="Y164" s="170"/>
      <c r="AA164" s="170"/>
      <c r="AB164" s="170"/>
      <c r="AC164" s="170"/>
      <c r="AD164" s="170"/>
      <c r="AE164" s="170"/>
      <c r="AF164" s="170"/>
      <c r="AG164" s="170"/>
      <c r="AH164" s="170"/>
      <c r="AI164" s="170"/>
      <c r="AJ164" s="170"/>
      <c r="AK164" s="170"/>
      <c r="AL164" s="170"/>
      <c r="AM164" s="170"/>
      <c r="AN164" s="170"/>
      <c r="AO164" s="170"/>
    </row>
    <row r="165" spans="2:41" x14ac:dyDescent="0.15">
      <c r="AL165" s="170"/>
      <c r="AM165" s="170"/>
      <c r="AN165" s="170"/>
      <c r="AO165" s="170"/>
    </row>
    <row r="166" spans="2:41" x14ac:dyDescent="0.15">
      <c r="AL166" s="170"/>
      <c r="AM166" s="170"/>
      <c r="AN166" s="170"/>
      <c r="AO166" s="170"/>
    </row>
    <row r="167" spans="2:41" x14ac:dyDescent="0.15">
      <c r="AL167" s="170"/>
      <c r="AM167" s="170"/>
    </row>
  </sheetData>
  <sheetProtection algorithmName="SHA-512" hashValue="bfFHUTTQ8EZTvi1dDnqqihLidALggrhFJk9kKkBYiiplu3sAhufpOz3Jqp+cBMLdwzR3JRpqHpkxFUqZd9Goug==" saltValue="splmbzY/ajHuTJFdLVdznA==" spinCount="100000" sheet="1" objects="1" scenarios="1" selectLockedCells="1"/>
  <customSheetViews>
    <customSheetView guid="{82B311FB-57F0-41B4-A7C3-5882014D86A1}" scale="70" printArea="1" hiddenRows="1" hiddenColumns="1" topLeftCell="A4">
      <selection activeCell="A5" sqref="A5"/>
      <rowBreaks count="1" manualBreakCount="1">
        <brk id="37" max="20" man="1"/>
      </rowBreaks>
      <pageMargins left="0" right="0" top="0.19685039370078741" bottom="0.19685039370078741" header="0.19685039370078741" footer="0.19685039370078741"/>
      <printOptions horizontalCentered="1" verticalCentered="1"/>
      <pageSetup paperSize="9" scale="50" orientation="landscape" r:id="rId1"/>
      <headerFooter alignWithMargins="0"/>
    </customSheetView>
    <customSheetView guid="{667EEF7A-262F-4932-80D5-D47443835FA2}" scale="70" showPageBreaks="1" printArea="1" hiddenRows="1" topLeftCell="A3">
      <selection activeCell="C8" sqref="C8:D8"/>
      <pageMargins left="0" right="0" top="0.19685039370078741" bottom="0.19685039370078741" header="0.19685039370078741" footer="0.19685039370078741"/>
      <printOptions horizontalCentered="1" verticalCentered="1"/>
      <pageSetup paperSize="9" scale="55" orientation="landscape" r:id="rId2"/>
      <headerFooter alignWithMargins="0"/>
    </customSheetView>
    <customSheetView guid="{00AC2CC8-9B9F-4979-A039-643E7B67D066}" scale="70" hiddenRows="1" hiddenColumns="1" topLeftCell="A2">
      <selection activeCell="A68" sqref="A68"/>
      <rowBreaks count="1" manualBreakCount="1">
        <brk id="38" max="20" man="1"/>
      </rowBreaks>
      <pageMargins left="0" right="0" top="0.19685039370078741" bottom="0.19685039370078741" header="0.19685039370078741" footer="0.19685039370078741"/>
      <printOptions horizontalCentered="1" verticalCentered="1"/>
      <pageSetup paperSize="9" scale="55" orientation="landscape" r:id="rId3"/>
      <headerFooter alignWithMargins="0"/>
    </customSheetView>
  </customSheetViews>
  <mergeCells count="57">
    <mergeCell ref="AL23:AL24"/>
    <mergeCell ref="AM23:AM24"/>
    <mergeCell ref="AL30:AL31"/>
    <mergeCell ref="AM30:AM31"/>
    <mergeCell ref="AO3:AO4"/>
    <mergeCell ref="AN6:AN7"/>
    <mergeCell ref="AN3:AN4"/>
    <mergeCell ref="S3:T5"/>
    <mergeCell ref="AL6:AL7"/>
    <mergeCell ref="AM6:AM7"/>
    <mergeCell ref="AL13:AM14"/>
    <mergeCell ref="AM15:AM16"/>
    <mergeCell ref="AL15:AL16"/>
    <mergeCell ref="AL11:AM12"/>
    <mergeCell ref="AL3:AL4"/>
    <mergeCell ref="AM3:AM4"/>
    <mergeCell ref="N14:P14"/>
    <mergeCell ref="R9:R14"/>
    <mergeCell ref="T9:T14"/>
    <mergeCell ref="S8:T8"/>
    <mergeCell ref="Q8:R8"/>
    <mergeCell ref="N13:P13"/>
    <mergeCell ref="N11:P11"/>
    <mergeCell ref="N12:P12"/>
    <mergeCell ref="B32:B36"/>
    <mergeCell ref="B40:B45"/>
    <mergeCell ref="B49:B54"/>
    <mergeCell ref="B58:B63"/>
    <mergeCell ref="B67:B72"/>
    <mergeCell ref="C3:D3"/>
    <mergeCell ref="G3:H3"/>
    <mergeCell ref="C4:D4"/>
    <mergeCell ref="G4:H4"/>
    <mergeCell ref="D12:E12"/>
    <mergeCell ref="C5:D5"/>
    <mergeCell ref="G5:H5"/>
    <mergeCell ref="B7:L7"/>
    <mergeCell ref="B12:C13"/>
    <mergeCell ref="B10:C11"/>
    <mergeCell ref="B8:C9"/>
    <mergeCell ref="D13:E13"/>
    <mergeCell ref="D11:E11"/>
    <mergeCell ref="D8:E8"/>
    <mergeCell ref="B25:B28"/>
    <mergeCell ref="D14:E14"/>
    <mergeCell ref="D9:E9"/>
    <mergeCell ref="D10:E10"/>
    <mergeCell ref="B19:B21"/>
    <mergeCell ref="D15:E15"/>
    <mergeCell ref="D16:E16"/>
    <mergeCell ref="B14:C14"/>
    <mergeCell ref="O4:P4"/>
    <mergeCell ref="O5:P5"/>
    <mergeCell ref="L3:R3"/>
    <mergeCell ref="N9:P9"/>
    <mergeCell ref="N10:P10"/>
    <mergeCell ref="N8:P8"/>
  </mergeCells>
  <phoneticPr fontId="3" type="noConversion"/>
  <conditionalFormatting sqref="F9:L14 S18:S22 S25:S29 S32:S36 S40:S44 S49:S53 S58:S62 S67:S71">
    <cfRule type="cellIs" dxfId="2" priority="1" operator="equal">
      <formula>0</formula>
    </cfRule>
  </conditionalFormatting>
  <dataValidations count="3">
    <dataValidation type="list" allowBlank="1" showInputMessage="1" showErrorMessage="1" sqref="AL13" xr:uid="{9919F311-6B29-47C0-84F7-F2CE3C97279D}">
      <formula1>"Auto,Manual"</formula1>
    </dataValidation>
    <dataValidation type="list" allowBlank="1" showInputMessage="1" showErrorMessage="1" sqref="AM15:AM16" xr:uid="{26D04842-7B65-4D64-AE3D-A39BEE49E81C}">
      <formula1>"ขายแบบรายปี,ขายแบบรายเดือน"</formula1>
    </dataValidation>
    <dataValidation type="list" allowBlank="1" showInputMessage="1" showErrorMessage="1" sqref="AM25:AM29" xr:uid="{EADC7EC9-4641-41FD-82D1-C5D7D834BA0C}">
      <formula1>"ON,OFF"</formula1>
    </dataValidation>
  </dataValidations>
  <printOptions horizontalCentered="1" verticalCentered="1"/>
  <pageMargins left="0" right="0" top="0.19685039370078741" bottom="0.19685039370078741" header="0.19685039370078741" footer="0.19685039370078741"/>
  <pageSetup paperSize="9" scale="50" orientation="landscape" r:id="rId4"/>
  <headerFooter alignWithMargins="0"/>
  <rowBreaks count="1" manualBreakCount="1">
    <brk id="37" max="20" man="1"/>
  </rowBreaks>
  <ignoredErrors>
    <ignoredError sqref="S9" formula="1"/>
  </ignoredErrors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2107" r:id="rId7" name="Spinner 11">
              <controlPr defaultSize="0" autoPict="0">
                <anchor moveWithCells="1" sizeWithCells="1">
                  <from>
                    <xdr:col>1</xdr:col>
                    <xdr:colOff>7620</xdr:colOff>
                    <xdr:row>14</xdr:row>
                    <xdr:rowOff>22860</xdr:rowOff>
                  </from>
                  <to>
                    <xdr:col>2</xdr:col>
                    <xdr:colOff>1272540</xdr:colOff>
                    <xdr:row>15</xdr:row>
                    <xdr:rowOff>434340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14" r:id="rId8" name="Spinner 18">
              <controlPr defaultSize="0" autoPict="0">
                <anchor moveWithCells="1" sizeWithCells="1">
                  <from>
                    <xdr:col>39</xdr:col>
                    <xdr:colOff>15240</xdr:colOff>
                    <xdr:row>2</xdr:row>
                    <xdr:rowOff>7620</xdr:rowOff>
                  </from>
                  <to>
                    <xdr:col>40</xdr:col>
                    <xdr:colOff>0</xdr:colOff>
                    <xdr:row>3</xdr:row>
                    <xdr:rowOff>510540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5DC0-8DDC-4596-AD81-642FC16602C6}">
  <sheetPr codeName="Sheet14">
    <tabColor rgb="FF0070C0"/>
    <pageSetUpPr fitToPage="1"/>
  </sheetPr>
  <dimension ref="A1:O116"/>
  <sheetViews>
    <sheetView topLeftCell="A12" zoomScale="50" zoomScaleNormal="50" workbookViewId="0">
      <selection activeCell="A9" sqref="A9"/>
    </sheetView>
  </sheetViews>
  <sheetFormatPr defaultColWidth="9.16796875" defaultRowHeight="32.25" x14ac:dyDescent="0.15"/>
  <cols>
    <col min="1" max="1" width="4.58203125" style="167" customWidth="1"/>
    <col min="2" max="2" width="16.71875" style="167" customWidth="1"/>
    <col min="3" max="3" width="17.125" style="167" customWidth="1"/>
    <col min="4" max="8" width="21.03515625" style="167" customWidth="1"/>
    <col min="9" max="9" width="25.484375" style="167" customWidth="1"/>
    <col min="10" max="10" width="4.44921875" style="167" customWidth="1"/>
    <col min="11" max="11" width="4.8515625" style="167" customWidth="1"/>
    <col min="12" max="14" width="12.5390625" style="167" customWidth="1"/>
    <col min="15" max="15" width="34.38671875" style="167" customWidth="1"/>
    <col min="16" max="16384" width="9.16796875" style="167"/>
  </cols>
  <sheetData>
    <row r="1" spans="1:14" s="175" customFormat="1" ht="26.25" customHeight="1" thickBot="1" x14ac:dyDescent="0.2">
      <c r="A1" s="745"/>
      <c r="B1" s="745"/>
      <c r="C1" s="491"/>
      <c r="D1" s="491"/>
      <c r="E1" s="491"/>
      <c r="F1" s="491"/>
      <c r="G1" s="491"/>
      <c r="H1" s="491"/>
      <c r="I1" s="491"/>
      <c r="J1" s="745"/>
      <c r="K1" s="745"/>
      <c r="L1" s="745"/>
      <c r="M1" s="745"/>
      <c r="N1" s="745"/>
    </row>
    <row r="2" spans="1:14" s="175" customFormat="1" ht="69" x14ac:dyDescent="0.15">
      <c r="A2" s="745"/>
      <c r="B2" s="1261" t="s">
        <v>22</v>
      </c>
      <c r="C2" s="1262"/>
      <c r="D2" s="1262"/>
      <c r="E2" s="1262"/>
      <c r="F2" s="1262"/>
      <c r="G2" s="1262"/>
      <c r="H2" s="1262"/>
      <c r="I2" s="1263"/>
      <c r="J2" s="745"/>
      <c r="K2" s="745"/>
      <c r="L2" s="745"/>
      <c r="M2" s="745"/>
      <c r="N2" s="745"/>
    </row>
    <row r="3" spans="1:14" s="175" customFormat="1" ht="51.75" x14ac:dyDescent="0.15">
      <c r="A3" s="745"/>
      <c r="B3" s="1264" t="s">
        <v>176</v>
      </c>
      <c r="C3" s="1265"/>
      <c r="D3" s="1266"/>
      <c r="E3" s="729">
        <v>1</v>
      </c>
      <c r="F3" s="730">
        <v>2</v>
      </c>
      <c r="G3" s="730">
        <v>3</v>
      </c>
      <c r="H3" s="730">
        <v>4</v>
      </c>
      <c r="I3" s="731">
        <v>5</v>
      </c>
      <c r="J3" s="745"/>
      <c r="K3" s="745"/>
      <c r="L3" s="745"/>
      <c r="M3" s="745"/>
      <c r="N3" s="745"/>
    </row>
    <row r="4" spans="1:14" s="175" customFormat="1" ht="52.5" thickBot="1" x14ac:dyDescent="0.2">
      <c r="A4" s="745"/>
      <c r="B4" s="1267" t="str">
        <f>'ขายรายเดือน 1'!AM3</f>
        <v>สุพรีม ไลฟ์  โพรเทคเตอร์ A90/20</v>
      </c>
      <c r="C4" s="1268"/>
      <c r="D4" s="1269"/>
      <c r="E4" s="726">
        <f>'ขายรายเดือน 1'!K5</f>
        <v>0.4</v>
      </c>
      <c r="F4" s="727">
        <f>'ขายรายเดือน 1'!L5</f>
        <v>0.16</v>
      </c>
      <c r="G4" s="727">
        <f>'ขายรายเดือน 1'!M5</f>
        <v>0.1</v>
      </c>
      <c r="H4" s="727">
        <f>'ขายรายเดือน 1'!N5</f>
        <v>0.05</v>
      </c>
      <c r="I4" s="728">
        <f>'ขายรายเดือน 1'!O5</f>
        <v>0.05</v>
      </c>
      <c r="J4" s="745"/>
      <c r="K4" s="745"/>
      <c r="L4" s="745"/>
      <c r="M4" s="745"/>
      <c r="N4" s="745"/>
    </row>
    <row r="5" spans="1:14" s="175" customFormat="1" ht="60" customHeight="1" thickBot="1" x14ac:dyDescent="0.2">
      <c r="A5" s="491"/>
      <c r="B5" s="746"/>
      <c r="C5" s="746"/>
      <c r="D5" s="746"/>
      <c r="E5" s="746"/>
      <c r="F5" s="746"/>
      <c r="G5" s="746"/>
      <c r="H5" s="746"/>
      <c r="I5" s="746"/>
      <c r="J5" s="492"/>
      <c r="K5" s="745"/>
      <c r="L5" s="745"/>
      <c r="M5" s="745"/>
      <c r="N5" s="745"/>
    </row>
    <row r="6" spans="1:14" ht="60" customHeight="1" x14ac:dyDescent="0.15">
      <c r="A6" s="491"/>
      <c r="B6" s="1272" t="s">
        <v>71</v>
      </c>
      <c r="C6" s="1273"/>
      <c r="D6" s="1276">
        <f>'ขายรายเดือน 1'!E3</f>
        <v>1</v>
      </c>
      <c r="E6" s="1277"/>
      <c r="F6" s="746"/>
      <c r="G6" s="1274" t="s">
        <v>74</v>
      </c>
      <c r="H6" s="1275"/>
      <c r="I6" s="722">
        <f>'ขายรายเดือน 1'!I3</f>
        <v>10</v>
      </c>
      <c r="J6" s="492"/>
      <c r="K6" s="492"/>
      <c r="L6" s="492"/>
      <c r="M6" s="492"/>
      <c r="N6" s="492"/>
    </row>
    <row r="7" spans="1:14" ht="60" customHeight="1" x14ac:dyDescent="0.15">
      <c r="A7" s="491"/>
      <c r="B7" s="1270" t="s">
        <v>360</v>
      </c>
      <c r="C7" s="1271"/>
      <c r="D7" s="1282">
        <f>'ขายรายเดือน 1'!E4</f>
        <v>10</v>
      </c>
      <c r="E7" s="1283"/>
      <c r="F7" s="746"/>
      <c r="G7" s="1270" t="s">
        <v>9</v>
      </c>
      <c r="H7" s="1271"/>
      <c r="I7" s="723">
        <f>'ขายรายเดือน 1'!I4</f>
        <v>0.4</v>
      </c>
      <c r="J7" s="492"/>
      <c r="K7" s="492"/>
      <c r="L7" s="492"/>
      <c r="M7" s="492"/>
      <c r="N7" s="492"/>
    </row>
    <row r="8" spans="1:14" ht="60" customHeight="1" x14ac:dyDescent="0.15">
      <c r="A8" s="491"/>
      <c r="B8" s="1270" t="s">
        <v>359</v>
      </c>
      <c r="C8" s="1271"/>
      <c r="D8" s="1284">
        <f>'ขายรายเดือน 1'!E5</f>
        <v>25000</v>
      </c>
      <c r="E8" s="1285"/>
      <c r="F8" s="746"/>
      <c r="G8" s="1270" t="s">
        <v>70</v>
      </c>
      <c r="H8" s="1271"/>
      <c r="I8" s="724">
        <f>'ขายรายเดือน 1'!I5</f>
        <v>10000</v>
      </c>
      <c r="J8" s="492"/>
      <c r="K8" s="492"/>
      <c r="L8" s="492"/>
      <c r="M8" s="492"/>
      <c r="N8" s="492"/>
    </row>
    <row r="9" spans="1:14" ht="60" customHeight="1" x14ac:dyDescent="0.15">
      <c r="A9" s="491"/>
      <c r="B9" s="1270" t="s">
        <v>358</v>
      </c>
      <c r="C9" s="1271"/>
      <c r="D9" s="1284">
        <f>D6*D7*D8</f>
        <v>250000</v>
      </c>
      <c r="E9" s="1285"/>
      <c r="F9" s="746"/>
      <c r="G9" s="1270" t="s">
        <v>355</v>
      </c>
      <c r="H9" s="1271"/>
      <c r="I9" s="724">
        <f>D6*I6*I8</f>
        <v>100000</v>
      </c>
      <c r="J9" s="492"/>
      <c r="K9" s="492"/>
      <c r="L9" s="492"/>
      <c r="M9" s="492"/>
      <c r="N9" s="492"/>
    </row>
    <row r="10" spans="1:14" ht="60" customHeight="1" thickBot="1" x14ac:dyDescent="0.2">
      <c r="A10" s="491"/>
      <c r="B10" s="1278" t="s">
        <v>357</v>
      </c>
      <c r="C10" s="1279"/>
      <c r="D10" s="1280">
        <f>D9*12</f>
        <v>3000000</v>
      </c>
      <c r="E10" s="1281"/>
      <c r="F10" s="746"/>
      <c r="G10" s="1278" t="s">
        <v>356</v>
      </c>
      <c r="H10" s="1279"/>
      <c r="I10" s="725">
        <f>I9*12</f>
        <v>1200000</v>
      </c>
      <c r="J10" s="492"/>
      <c r="K10" s="492"/>
      <c r="L10" s="492"/>
      <c r="M10" s="492"/>
      <c r="N10" s="492"/>
    </row>
    <row r="11" spans="1:14" ht="60" customHeight="1" thickBot="1" x14ac:dyDescent="0.2">
      <c r="A11" s="491"/>
      <c r="B11" s="492"/>
      <c r="C11" s="491"/>
      <c r="D11" s="747"/>
      <c r="E11" s="491"/>
      <c r="F11" s="491"/>
      <c r="G11" s="747"/>
      <c r="H11" s="747"/>
      <c r="I11" s="747"/>
      <c r="J11" s="492"/>
      <c r="K11" s="492"/>
      <c r="L11" s="492"/>
      <c r="M11" s="492"/>
      <c r="N11" s="492"/>
    </row>
    <row r="12" spans="1:14" ht="66" customHeight="1" thickBot="1" x14ac:dyDescent="0.2">
      <c r="A12" s="491"/>
      <c r="B12" s="1248" t="s">
        <v>353</v>
      </c>
      <c r="C12" s="1249"/>
      <c r="D12" s="1249"/>
      <c r="E12" s="1249"/>
      <c r="F12" s="1249"/>
      <c r="G12" s="1249"/>
      <c r="H12" s="1249"/>
      <c r="I12" s="1250"/>
      <c r="J12" s="492"/>
      <c r="K12" s="492"/>
      <c r="L12" s="492"/>
      <c r="M12" s="492"/>
      <c r="N12" s="492"/>
    </row>
    <row r="13" spans="1:14" ht="60.6" customHeight="1" x14ac:dyDescent="0.15">
      <c r="A13" s="491"/>
      <c r="B13" s="1257" t="s">
        <v>75</v>
      </c>
      <c r="C13" s="1258"/>
      <c r="D13" s="743">
        <v>1</v>
      </c>
      <c r="E13" s="743">
        <v>2</v>
      </c>
      <c r="F13" s="743">
        <v>3</v>
      </c>
      <c r="G13" s="743">
        <v>4</v>
      </c>
      <c r="H13" s="743">
        <v>5</v>
      </c>
      <c r="I13" s="744" t="s">
        <v>352</v>
      </c>
      <c r="J13" s="492"/>
      <c r="K13" s="492"/>
      <c r="L13" s="492"/>
      <c r="M13" s="492"/>
      <c r="N13" s="492"/>
    </row>
    <row r="14" spans="1:14" ht="60" customHeight="1" x14ac:dyDescent="0.15">
      <c r="A14" s="491"/>
      <c r="B14" s="1246" t="s">
        <v>14</v>
      </c>
      <c r="C14" s="1247"/>
      <c r="D14" s="748">
        <f>'ขายรายเดือน 1'!Q21</f>
        <v>3000000</v>
      </c>
      <c r="E14" s="748">
        <f>'ขายรายเดือน 1'!Q27+D14</f>
        <v>6000000</v>
      </c>
      <c r="F14" s="748">
        <f>'ขายรายเดือน 1'!Q34+E14</f>
        <v>9000000</v>
      </c>
      <c r="G14" s="748">
        <f>'ขายรายเดือน 1'!Q42+F14</f>
        <v>12000000</v>
      </c>
      <c r="H14" s="748">
        <f>'ขายรายเดือน 1'!Q51+G14</f>
        <v>15000000</v>
      </c>
      <c r="I14" s="749">
        <f>SUM(D14:H14)</f>
        <v>45000000</v>
      </c>
      <c r="J14" s="492"/>
      <c r="K14" s="492"/>
      <c r="L14" s="492"/>
      <c r="M14" s="492"/>
      <c r="N14" s="492"/>
    </row>
    <row r="15" spans="1:14" ht="60" customHeight="1" x14ac:dyDescent="0.15">
      <c r="A15" s="491"/>
      <c r="B15" s="1259" t="s">
        <v>164</v>
      </c>
      <c r="C15" s="1260"/>
      <c r="D15" s="732">
        <f>'ขายรายเดือน 1'!F9</f>
        <v>1200000</v>
      </c>
      <c r="E15" s="732">
        <f>'ขายรายเดือน 1'!G9</f>
        <v>1560000</v>
      </c>
      <c r="F15" s="732">
        <f>'ขายรายเดือน 1'!H9</f>
        <v>1785000</v>
      </c>
      <c r="G15" s="732">
        <f>'ขายรายเดือน 1'!I9</f>
        <v>1897500</v>
      </c>
      <c r="H15" s="732">
        <f>'ขายรายเดือน 1'!J9</f>
        <v>2010000</v>
      </c>
      <c r="I15" s="733">
        <f>SUM(D15:H15)</f>
        <v>8452500</v>
      </c>
      <c r="J15" s="492"/>
      <c r="K15" s="492"/>
      <c r="L15" s="492"/>
      <c r="M15" s="492"/>
      <c r="N15" s="492"/>
    </row>
    <row r="16" spans="1:14" ht="60" customHeight="1" x14ac:dyDescent="0.15">
      <c r="A16" s="491"/>
      <c r="B16" s="1246" t="s">
        <v>287</v>
      </c>
      <c r="C16" s="1247"/>
      <c r="D16" s="734">
        <f>'ขายรายเดือน 1'!F10</f>
        <v>315000</v>
      </c>
      <c r="E16" s="734">
        <f>'ขายรายเดือน 1'!G10</f>
        <v>315000</v>
      </c>
      <c r="F16" s="734">
        <f>'ขายรายเดือน 1'!H10</f>
        <v>315000</v>
      </c>
      <c r="G16" s="734">
        <f>'ขายรายเดือน 1'!I10</f>
        <v>315000</v>
      </c>
      <c r="H16" s="734">
        <f>'ขายรายเดือน 1'!J10</f>
        <v>315000</v>
      </c>
      <c r="I16" s="735">
        <f t="shared" ref="I16:I21" si="0">SUM(D16:H16)</f>
        <v>1575000</v>
      </c>
      <c r="J16" s="492"/>
      <c r="K16" s="492"/>
      <c r="L16" s="492"/>
      <c r="M16" s="492"/>
      <c r="N16" s="492"/>
    </row>
    <row r="17" spans="1:15" ht="60" customHeight="1" x14ac:dyDescent="0.15">
      <c r="A17" s="491"/>
      <c r="B17" s="1246" t="s">
        <v>288</v>
      </c>
      <c r="C17" s="1247"/>
      <c r="D17" s="734">
        <f>'ขายรายเดือน 1'!F11</f>
        <v>315000</v>
      </c>
      <c r="E17" s="734">
        <f>'ขายรายเดือน 1'!G11</f>
        <v>315000</v>
      </c>
      <c r="F17" s="734">
        <f>'ขายรายเดือน 1'!H11</f>
        <v>315000</v>
      </c>
      <c r="G17" s="734">
        <f>'ขายรายเดือน 1'!I11</f>
        <v>315000</v>
      </c>
      <c r="H17" s="734">
        <f>'ขายรายเดือน 1'!J11</f>
        <v>315000</v>
      </c>
      <c r="I17" s="735">
        <f t="shared" si="0"/>
        <v>1575000</v>
      </c>
      <c r="J17" s="492"/>
      <c r="K17" s="492"/>
      <c r="L17" s="492"/>
      <c r="M17" s="492"/>
      <c r="N17" s="492"/>
    </row>
    <row r="18" spans="1:15" ht="60" customHeight="1" x14ac:dyDescent="0.15">
      <c r="A18" s="491"/>
      <c r="B18" s="1246" t="s">
        <v>161</v>
      </c>
      <c r="C18" s="1247"/>
      <c r="D18" s="736">
        <f>'ขายรายเดือน 1'!F12</f>
        <v>0</v>
      </c>
      <c r="E18" s="736">
        <f>'ขายรายเดือน 1'!G12</f>
        <v>0</v>
      </c>
      <c r="F18" s="734">
        <f>'ขายรายเดือน 1'!H12</f>
        <v>202500</v>
      </c>
      <c r="G18" s="734">
        <f>'ขายรายเดือน 1'!I12</f>
        <v>329062.5</v>
      </c>
      <c r="H18" s="734">
        <f>'ขายรายเดือน 1'!J12</f>
        <v>392343.75</v>
      </c>
      <c r="I18" s="735">
        <f t="shared" si="0"/>
        <v>923906.25</v>
      </c>
      <c r="J18" s="492"/>
      <c r="K18" s="492"/>
      <c r="L18" s="492"/>
      <c r="M18" s="492"/>
      <c r="N18" s="492"/>
    </row>
    <row r="19" spans="1:15" ht="60" customHeight="1" x14ac:dyDescent="0.15">
      <c r="A19" s="491"/>
      <c r="B19" s="1246" t="s">
        <v>286</v>
      </c>
      <c r="C19" s="1247"/>
      <c r="D19" s="734">
        <f>'ขายรายเดือน 1'!F13</f>
        <v>40000</v>
      </c>
      <c r="E19" s="736">
        <f>'ขายรายเดือน 1'!G13</f>
        <v>0</v>
      </c>
      <c r="F19" s="736">
        <f>'ขายรายเดือน 1'!H13</f>
        <v>0</v>
      </c>
      <c r="G19" s="736">
        <f>'ขายรายเดือน 1'!I13</f>
        <v>0</v>
      </c>
      <c r="H19" s="736">
        <f>'ขายรายเดือน 1'!J13</f>
        <v>0</v>
      </c>
      <c r="I19" s="750">
        <f t="shared" si="0"/>
        <v>40000</v>
      </c>
      <c r="J19" s="492"/>
      <c r="K19" s="492"/>
      <c r="L19" s="492"/>
      <c r="M19" s="492"/>
      <c r="N19" s="492"/>
    </row>
    <row r="20" spans="1:15" ht="60" customHeight="1" x14ac:dyDescent="0.15">
      <c r="A20" s="491"/>
      <c r="B20" s="1253" t="s">
        <v>285</v>
      </c>
      <c r="C20" s="1254"/>
      <c r="D20" s="737">
        <f>'ขายรายเดือน 1'!F14</f>
        <v>45000</v>
      </c>
      <c r="E20" s="737">
        <f>'ขายรายเดือน 1'!G14</f>
        <v>45000</v>
      </c>
      <c r="F20" s="737">
        <f>'ขายรายเดือน 1'!H14</f>
        <v>45000</v>
      </c>
      <c r="G20" s="737">
        <f>'ขายรายเดือน 1'!I14</f>
        <v>45000</v>
      </c>
      <c r="H20" s="737">
        <f>'ขายรายเดือน 1'!J14</f>
        <v>45000</v>
      </c>
      <c r="I20" s="738">
        <f t="shared" si="0"/>
        <v>225000</v>
      </c>
      <c r="J20" s="492"/>
      <c r="K20" s="492"/>
      <c r="L20" s="492"/>
      <c r="M20" s="492"/>
      <c r="N20" s="492"/>
    </row>
    <row r="21" spans="1:15" ht="72" customHeight="1" x14ac:dyDescent="0.15">
      <c r="A21" s="491"/>
      <c r="B21" s="1255" t="s">
        <v>61</v>
      </c>
      <c r="C21" s="1256"/>
      <c r="D21" s="739">
        <f>'ขายรายเดือน 1'!F15</f>
        <v>1915000</v>
      </c>
      <c r="E21" s="739">
        <f>'ขายรายเดือน 1'!G15</f>
        <v>2235000</v>
      </c>
      <c r="F21" s="739">
        <f>'ขายรายเดือน 1'!H15</f>
        <v>2662500</v>
      </c>
      <c r="G21" s="739">
        <f>'ขายรายเดือน 1'!I15</f>
        <v>2901562.5</v>
      </c>
      <c r="H21" s="739">
        <f>'ขายรายเดือน 1'!J15</f>
        <v>3077343.75</v>
      </c>
      <c r="I21" s="740">
        <f t="shared" si="0"/>
        <v>12791406.25</v>
      </c>
      <c r="J21" s="492"/>
      <c r="K21" s="492"/>
      <c r="L21" s="492"/>
      <c r="M21" s="492"/>
      <c r="N21" s="492"/>
    </row>
    <row r="22" spans="1:15" ht="72" customHeight="1" thickBot="1" x14ac:dyDescent="0.2">
      <c r="A22" s="491"/>
      <c r="B22" s="1251" t="s">
        <v>91</v>
      </c>
      <c r="C22" s="1252"/>
      <c r="D22" s="741">
        <f>'ขายรายเดือน 1'!F16</f>
        <v>159583.33333333334</v>
      </c>
      <c r="E22" s="741">
        <f>'ขายรายเดือน 1'!G16</f>
        <v>186250</v>
      </c>
      <c r="F22" s="741">
        <f>'ขายรายเดือน 1'!H16</f>
        <v>221875</v>
      </c>
      <c r="G22" s="741">
        <f>'ขายรายเดือน 1'!I16</f>
        <v>241796.875</v>
      </c>
      <c r="H22" s="741">
        <f>'ขายรายเดือน 1'!J16</f>
        <v>256445.3125</v>
      </c>
      <c r="I22" s="742">
        <f>SUM(D22:H22)/5</f>
        <v>213190.10416666669</v>
      </c>
      <c r="J22" s="492"/>
      <c r="K22" s="492"/>
      <c r="L22" s="492"/>
      <c r="M22" s="492"/>
      <c r="N22" s="492"/>
    </row>
    <row r="23" spans="1:15" ht="22.9" customHeight="1" x14ac:dyDescent="0.15">
      <c r="A23" s="491"/>
      <c r="B23" s="492"/>
      <c r="C23" s="492"/>
      <c r="D23" s="492"/>
      <c r="E23" s="492"/>
      <c r="F23" s="492"/>
      <c r="G23" s="492"/>
      <c r="H23" s="492"/>
      <c r="I23" s="492"/>
      <c r="J23" s="492"/>
      <c r="K23" s="492"/>
      <c r="L23" s="492"/>
      <c r="M23" s="492"/>
      <c r="N23" s="492"/>
    </row>
    <row r="24" spans="1:15" x14ac:dyDescent="0.15">
      <c r="A24" s="491"/>
      <c r="B24" s="492"/>
      <c r="C24" s="492"/>
      <c r="D24" s="492"/>
      <c r="E24" s="492"/>
      <c r="F24" s="492"/>
      <c r="G24" s="492"/>
      <c r="H24" s="492"/>
      <c r="I24" s="492"/>
      <c r="J24" s="492"/>
      <c r="K24" s="492"/>
      <c r="L24" s="492"/>
      <c r="M24" s="492"/>
      <c r="N24" s="492"/>
    </row>
    <row r="25" spans="1:15" x14ac:dyDescent="0.15">
      <c r="A25" s="491"/>
      <c r="B25" s="492"/>
      <c r="C25" s="492"/>
      <c r="D25" s="492"/>
      <c r="E25" s="492"/>
      <c r="F25" s="492"/>
      <c r="G25" s="492"/>
      <c r="H25" s="492"/>
      <c r="I25" s="492"/>
      <c r="J25" s="492"/>
      <c r="K25" s="492"/>
      <c r="L25" s="492"/>
      <c r="M25" s="492"/>
      <c r="N25" s="492"/>
    </row>
    <row r="26" spans="1:15" x14ac:dyDescent="0.15">
      <c r="A26" s="491"/>
      <c r="B26" s="492"/>
      <c r="C26" s="492"/>
      <c r="D26" s="492"/>
      <c r="E26" s="492"/>
      <c r="F26" s="492"/>
      <c r="G26" s="492"/>
      <c r="H26" s="492"/>
      <c r="I26" s="492"/>
      <c r="J26" s="492"/>
      <c r="K26" s="492"/>
      <c r="L26" s="492"/>
      <c r="M26" s="492"/>
      <c r="N26" s="492"/>
    </row>
    <row r="27" spans="1:15" x14ac:dyDescent="0.15">
      <c r="A27" s="492"/>
      <c r="B27" s="492"/>
      <c r="C27" s="492"/>
      <c r="D27" s="492"/>
      <c r="E27" s="492"/>
      <c r="F27" s="492"/>
      <c r="G27" s="492"/>
      <c r="H27" s="492"/>
      <c r="I27" s="492"/>
      <c r="J27" s="604"/>
      <c r="K27" s="492"/>
      <c r="L27" s="492"/>
      <c r="M27" s="492"/>
      <c r="N27" s="492"/>
    </row>
    <row r="28" spans="1:15" x14ac:dyDescent="0.15">
      <c r="J28" s="170"/>
    </row>
    <row r="29" spans="1:15" x14ac:dyDescent="0.15">
      <c r="J29" s="170"/>
    </row>
    <row r="32" spans="1:15" s="170" customFormat="1" x14ac:dyDescent="0.15"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</row>
    <row r="33" spans="2:15" s="170" customFormat="1" x14ac:dyDescent="0.15"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O33" s="167"/>
    </row>
    <row r="34" spans="2:15" s="170" customFormat="1" x14ac:dyDescent="0.15">
      <c r="B34" s="167"/>
      <c r="C34" s="167"/>
      <c r="D34" s="167"/>
      <c r="E34" s="167"/>
      <c r="F34" s="167"/>
      <c r="G34" s="167"/>
      <c r="H34" s="167"/>
      <c r="I34" s="167"/>
      <c r="J34" s="167"/>
      <c r="K34" s="167"/>
    </row>
    <row r="35" spans="2:15" s="170" customFormat="1" x14ac:dyDescent="0.15">
      <c r="B35" s="167"/>
      <c r="C35" s="167"/>
      <c r="D35" s="167"/>
      <c r="E35" s="167"/>
      <c r="F35" s="167"/>
      <c r="G35" s="167"/>
      <c r="H35" s="167"/>
      <c r="I35" s="167"/>
      <c r="J35" s="167"/>
      <c r="K35" s="167"/>
    </row>
    <row r="36" spans="2:15" s="170" customFormat="1" x14ac:dyDescent="0.15">
      <c r="B36" s="167"/>
      <c r="C36" s="167"/>
      <c r="D36" s="167"/>
      <c r="E36" s="167"/>
      <c r="F36" s="167"/>
      <c r="G36" s="167"/>
      <c r="H36" s="167"/>
      <c r="I36" s="167"/>
      <c r="J36" s="167"/>
      <c r="K36" s="167"/>
    </row>
    <row r="37" spans="2:15" s="170" customFormat="1" x14ac:dyDescent="0.15">
      <c r="B37" s="167"/>
      <c r="C37" s="167"/>
      <c r="D37" s="167"/>
      <c r="E37" s="167"/>
      <c r="F37" s="167"/>
      <c r="G37" s="167"/>
      <c r="H37" s="167"/>
      <c r="I37" s="167"/>
      <c r="J37" s="167"/>
      <c r="K37" s="167"/>
    </row>
    <row r="38" spans="2:15" s="170" customFormat="1" x14ac:dyDescent="0.15">
      <c r="B38" s="167"/>
      <c r="C38" s="167"/>
      <c r="D38" s="167"/>
      <c r="E38" s="167"/>
      <c r="F38" s="167"/>
      <c r="G38" s="167"/>
      <c r="H38" s="167"/>
      <c r="I38" s="167"/>
      <c r="J38" s="167"/>
      <c r="K38" s="167"/>
    </row>
    <row r="39" spans="2:15" s="170" customFormat="1" x14ac:dyDescent="0.15">
      <c r="B39" s="167"/>
      <c r="C39" s="167"/>
      <c r="D39" s="167"/>
      <c r="E39" s="167"/>
      <c r="F39" s="167"/>
      <c r="G39" s="167"/>
      <c r="H39" s="167"/>
      <c r="I39" s="167"/>
      <c r="J39" s="167"/>
      <c r="K39" s="167"/>
    </row>
    <row r="40" spans="2:15" s="170" customFormat="1" x14ac:dyDescent="0.15">
      <c r="B40" s="167"/>
      <c r="C40" s="167"/>
      <c r="D40" s="167"/>
      <c r="E40" s="167"/>
      <c r="F40" s="167"/>
      <c r="G40" s="167"/>
      <c r="H40" s="167"/>
      <c r="I40" s="167"/>
      <c r="J40" s="167"/>
      <c r="K40" s="167"/>
    </row>
    <row r="41" spans="2:15" s="170" customFormat="1" x14ac:dyDescent="0.15">
      <c r="B41" s="167"/>
      <c r="C41" s="167"/>
      <c r="D41" s="167"/>
      <c r="E41" s="167"/>
      <c r="F41" s="167"/>
      <c r="G41" s="167"/>
      <c r="H41" s="167"/>
      <c r="I41" s="167"/>
      <c r="J41" s="167"/>
      <c r="K41" s="167"/>
    </row>
    <row r="42" spans="2:15" s="170" customFormat="1" x14ac:dyDescent="0.15">
      <c r="B42" s="167"/>
      <c r="C42" s="167"/>
      <c r="D42" s="167"/>
      <c r="E42" s="167"/>
      <c r="F42" s="167"/>
      <c r="G42" s="167"/>
      <c r="H42" s="167"/>
      <c r="I42" s="167"/>
      <c r="J42" s="167"/>
      <c r="K42" s="167"/>
    </row>
    <row r="43" spans="2:15" s="170" customFormat="1" x14ac:dyDescent="0.15">
      <c r="B43" s="167"/>
      <c r="C43" s="167"/>
      <c r="D43" s="167"/>
      <c r="E43" s="167"/>
      <c r="F43" s="167"/>
      <c r="G43" s="167"/>
      <c r="H43" s="167"/>
      <c r="I43" s="167"/>
      <c r="J43" s="167"/>
      <c r="K43" s="167"/>
    </row>
    <row r="44" spans="2:15" s="170" customFormat="1" x14ac:dyDescent="0.15">
      <c r="B44" s="167"/>
      <c r="C44" s="167"/>
      <c r="D44" s="167"/>
      <c r="E44" s="167"/>
      <c r="F44" s="167"/>
      <c r="G44" s="167"/>
      <c r="H44" s="167"/>
      <c r="I44" s="167"/>
      <c r="J44" s="167"/>
      <c r="K44" s="167"/>
    </row>
    <row r="45" spans="2:15" s="170" customFormat="1" x14ac:dyDescent="0.15">
      <c r="B45" s="167"/>
      <c r="C45" s="167"/>
      <c r="D45" s="167"/>
      <c r="E45" s="167"/>
      <c r="F45" s="167"/>
      <c r="G45" s="167"/>
      <c r="H45" s="167"/>
      <c r="I45" s="167"/>
      <c r="J45" s="167"/>
      <c r="K45" s="167"/>
    </row>
    <row r="46" spans="2:15" s="170" customFormat="1" x14ac:dyDescent="0.15">
      <c r="B46" s="167"/>
      <c r="C46" s="167"/>
      <c r="D46" s="167"/>
      <c r="E46" s="167"/>
      <c r="F46" s="167"/>
      <c r="G46" s="167"/>
      <c r="H46" s="167"/>
      <c r="I46" s="167"/>
      <c r="J46" s="167"/>
      <c r="K46" s="167"/>
    </row>
    <row r="47" spans="2:15" s="170" customFormat="1" x14ac:dyDescent="0.15">
      <c r="B47" s="167"/>
      <c r="C47" s="167"/>
      <c r="D47" s="167"/>
      <c r="E47" s="167"/>
      <c r="F47" s="167"/>
      <c r="G47" s="167"/>
      <c r="H47" s="167"/>
      <c r="I47" s="167"/>
      <c r="J47" s="167"/>
      <c r="K47" s="167"/>
    </row>
    <row r="48" spans="2:15" s="170" customFormat="1" x14ac:dyDescent="0.15">
      <c r="B48" s="167"/>
      <c r="C48" s="167"/>
      <c r="D48" s="167"/>
      <c r="E48" s="167"/>
      <c r="F48" s="167"/>
      <c r="G48" s="167"/>
      <c r="H48" s="167"/>
      <c r="I48" s="167"/>
      <c r="J48" s="167"/>
      <c r="K48" s="167"/>
    </row>
    <row r="49" spans="2:11" s="170" customFormat="1" x14ac:dyDescent="0.15">
      <c r="B49" s="167"/>
      <c r="C49" s="167"/>
      <c r="D49" s="167"/>
      <c r="E49" s="167"/>
      <c r="F49" s="167"/>
      <c r="G49" s="167"/>
      <c r="H49" s="167"/>
      <c r="I49" s="167"/>
      <c r="J49" s="167"/>
      <c r="K49" s="167"/>
    </row>
    <row r="50" spans="2:11" s="170" customFormat="1" x14ac:dyDescent="0.15">
      <c r="B50" s="167"/>
      <c r="C50" s="167"/>
      <c r="D50" s="167"/>
      <c r="E50" s="167"/>
      <c r="F50" s="167"/>
      <c r="G50" s="167"/>
      <c r="H50" s="167"/>
      <c r="I50" s="167"/>
      <c r="J50" s="167"/>
      <c r="K50" s="167"/>
    </row>
    <row r="51" spans="2:11" s="170" customFormat="1" x14ac:dyDescent="0.15">
      <c r="B51" s="167"/>
      <c r="C51" s="167"/>
      <c r="D51" s="167"/>
      <c r="E51" s="167"/>
      <c r="F51" s="167"/>
      <c r="G51" s="167"/>
      <c r="H51" s="167"/>
      <c r="I51" s="167"/>
      <c r="J51" s="167"/>
      <c r="K51" s="167"/>
    </row>
    <row r="52" spans="2:11" s="170" customFormat="1" x14ac:dyDescent="0.15">
      <c r="B52" s="167"/>
      <c r="C52" s="167"/>
      <c r="D52" s="167"/>
      <c r="E52" s="167"/>
      <c r="F52" s="167"/>
      <c r="G52" s="167"/>
      <c r="H52" s="167"/>
      <c r="I52" s="167"/>
      <c r="J52" s="167"/>
      <c r="K52" s="167"/>
    </row>
    <row r="53" spans="2:11" s="170" customFormat="1" x14ac:dyDescent="0.15">
      <c r="B53" s="167"/>
      <c r="C53" s="167"/>
      <c r="D53" s="167"/>
      <c r="E53" s="167"/>
      <c r="F53" s="167"/>
      <c r="G53" s="167"/>
      <c r="H53" s="167"/>
      <c r="I53" s="167"/>
      <c r="J53" s="167"/>
      <c r="K53" s="167"/>
    </row>
    <row r="54" spans="2:11" s="170" customFormat="1" x14ac:dyDescent="0.15">
      <c r="B54" s="167"/>
      <c r="C54" s="167"/>
      <c r="D54" s="167"/>
      <c r="E54" s="167"/>
      <c r="F54" s="167"/>
      <c r="G54" s="167"/>
      <c r="H54" s="167"/>
      <c r="I54" s="167"/>
      <c r="J54" s="167"/>
      <c r="K54" s="167"/>
    </row>
    <row r="55" spans="2:11" s="170" customFormat="1" x14ac:dyDescent="0.15">
      <c r="B55" s="167"/>
      <c r="C55" s="167"/>
      <c r="D55" s="167"/>
      <c r="E55" s="167"/>
      <c r="F55" s="167"/>
      <c r="G55" s="167"/>
      <c r="H55" s="167"/>
      <c r="I55" s="167"/>
      <c r="J55" s="167"/>
      <c r="K55" s="167"/>
    </row>
    <row r="56" spans="2:11" s="170" customFormat="1" x14ac:dyDescent="0.15">
      <c r="B56" s="167"/>
      <c r="C56" s="167"/>
      <c r="D56" s="167"/>
      <c r="E56" s="167"/>
      <c r="F56" s="167"/>
      <c r="G56" s="167"/>
      <c r="H56" s="167"/>
      <c r="I56" s="167"/>
      <c r="J56" s="167"/>
      <c r="K56" s="167"/>
    </row>
    <row r="57" spans="2:11" s="170" customFormat="1" x14ac:dyDescent="0.15">
      <c r="B57" s="167"/>
      <c r="C57" s="167"/>
      <c r="D57" s="167"/>
      <c r="E57" s="167"/>
      <c r="F57" s="167"/>
      <c r="G57" s="167"/>
      <c r="H57" s="167"/>
      <c r="I57" s="167"/>
      <c r="J57" s="167"/>
      <c r="K57" s="167"/>
    </row>
    <row r="58" spans="2:11" s="170" customFormat="1" x14ac:dyDescent="0.15">
      <c r="B58" s="167"/>
      <c r="C58" s="167"/>
      <c r="D58" s="167"/>
      <c r="E58" s="167"/>
      <c r="F58" s="167"/>
      <c r="G58" s="167"/>
      <c r="H58" s="167"/>
      <c r="I58" s="167"/>
      <c r="J58" s="167"/>
      <c r="K58" s="167"/>
    </row>
    <row r="59" spans="2:11" s="170" customFormat="1" x14ac:dyDescent="0.15">
      <c r="B59" s="167"/>
      <c r="C59" s="167"/>
      <c r="D59" s="167"/>
      <c r="E59" s="167"/>
      <c r="F59" s="167"/>
      <c r="G59" s="167"/>
      <c r="H59" s="167"/>
      <c r="I59" s="167"/>
      <c r="J59" s="167"/>
      <c r="K59" s="167"/>
    </row>
    <row r="60" spans="2:11" s="170" customFormat="1" x14ac:dyDescent="0.15">
      <c r="B60" s="167"/>
      <c r="C60" s="167"/>
      <c r="D60" s="167"/>
      <c r="E60" s="167"/>
      <c r="F60" s="167"/>
      <c r="G60" s="167"/>
      <c r="H60" s="167"/>
      <c r="I60" s="167"/>
      <c r="J60" s="167"/>
      <c r="K60" s="167"/>
    </row>
    <row r="61" spans="2:11" s="170" customFormat="1" x14ac:dyDescent="0.15">
      <c r="B61" s="167"/>
      <c r="C61" s="167"/>
      <c r="D61" s="167"/>
      <c r="E61" s="167"/>
      <c r="F61" s="167"/>
      <c r="G61" s="167"/>
      <c r="H61" s="167"/>
      <c r="I61" s="167"/>
      <c r="J61" s="167"/>
      <c r="K61" s="167"/>
    </row>
    <row r="62" spans="2:11" s="170" customFormat="1" x14ac:dyDescent="0.15">
      <c r="B62" s="167"/>
      <c r="C62" s="167"/>
      <c r="D62" s="167"/>
      <c r="E62" s="167"/>
      <c r="F62" s="167"/>
      <c r="G62" s="167"/>
      <c r="H62" s="167"/>
      <c r="I62" s="167"/>
      <c r="J62" s="167"/>
      <c r="K62" s="167"/>
    </row>
    <row r="63" spans="2:11" s="170" customFormat="1" x14ac:dyDescent="0.15">
      <c r="B63" s="167"/>
      <c r="C63" s="167"/>
      <c r="D63" s="167"/>
      <c r="E63" s="167"/>
      <c r="F63" s="167"/>
      <c r="G63" s="167"/>
      <c r="H63" s="167"/>
      <c r="I63" s="167"/>
      <c r="J63" s="167"/>
      <c r="K63" s="167"/>
    </row>
    <row r="64" spans="2:11" s="170" customFormat="1" x14ac:dyDescent="0.15">
      <c r="B64" s="167"/>
      <c r="C64" s="167"/>
      <c r="D64" s="167"/>
      <c r="E64" s="167"/>
      <c r="F64" s="167"/>
      <c r="G64" s="167"/>
      <c r="H64" s="167"/>
      <c r="I64" s="167"/>
      <c r="J64" s="167"/>
      <c r="K64" s="167"/>
    </row>
    <row r="65" spans="2:15" s="170" customFormat="1" x14ac:dyDescent="0.15">
      <c r="B65" s="167"/>
      <c r="C65" s="167"/>
      <c r="D65" s="167"/>
      <c r="E65" s="167"/>
      <c r="F65" s="167"/>
      <c r="G65" s="167"/>
      <c r="H65" s="167"/>
      <c r="I65" s="167"/>
      <c r="J65" s="167"/>
      <c r="K65" s="167"/>
    </row>
    <row r="66" spans="2:15" s="170" customFormat="1" x14ac:dyDescent="0.15">
      <c r="B66" s="167"/>
      <c r="C66" s="167"/>
      <c r="D66" s="167"/>
      <c r="E66" s="167"/>
      <c r="F66" s="167"/>
      <c r="G66" s="167"/>
      <c r="H66" s="167"/>
      <c r="I66" s="167"/>
      <c r="J66" s="167"/>
      <c r="K66" s="167"/>
    </row>
    <row r="67" spans="2:15" s="170" customFormat="1" x14ac:dyDescent="0.15">
      <c r="B67" s="167"/>
      <c r="C67" s="167"/>
      <c r="D67" s="167"/>
      <c r="E67" s="167"/>
      <c r="F67" s="167"/>
      <c r="G67" s="167"/>
      <c r="H67" s="167"/>
      <c r="I67" s="167"/>
      <c r="J67" s="167"/>
      <c r="K67" s="167"/>
    </row>
    <row r="68" spans="2:15" x14ac:dyDescent="0.15">
      <c r="L68" s="170"/>
      <c r="M68" s="170"/>
      <c r="N68" s="170"/>
      <c r="O68" s="170"/>
    </row>
    <row r="69" spans="2:15" x14ac:dyDescent="0.15">
      <c r="O69" s="170"/>
    </row>
    <row r="74" spans="2:15" s="170" customFormat="1" x14ac:dyDescent="0.15"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</row>
    <row r="75" spans="2:15" s="170" customFormat="1" x14ac:dyDescent="0.15"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O75" s="167"/>
    </row>
    <row r="76" spans="2:15" s="170" customFormat="1" x14ac:dyDescent="0.15">
      <c r="B76" s="167"/>
      <c r="C76" s="167"/>
      <c r="D76" s="167"/>
      <c r="E76" s="167"/>
      <c r="F76" s="167"/>
      <c r="G76" s="167"/>
      <c r="H76" s="167"/>
      <c r="I76" s="167"/>
      <c r="J76" s="167"/>
      <c r="K76" s="167"/>
    </row>
    <row r="77" spans="2:15" s="170" customFormat="1" x14ac:dyDescent="0.15">
      <c r="B77" s="167"/>
      <c r="C77" s="167"/>
      <c r="D77" s="167"/>
      <c r="E77" s="167"/>
      <c r="F77" s="167"/>
      <c r="G77" s="167"/>
      <c r="H77" s="167"/>
      <c r="I77" s="167"/>
      <c r="J77" s="167"/>
      <c r="K77" s="167"/>
    </row>
    <row r="78" spans="2:15" s="170" customFormat="1" x14ac:dyDescent="0.15">
      <c r="B78" s="167"/>
      <c r="C78" s="167"/>
      <c r="D78" s="167"/>
      <c r="E78" s="167"/>
      <c r="F78" s="167"/>
      <c r="G78" s="167"/>
      <c r="H78" s="167"/>
      <c r="I78" s="167"/>
      <c r="J78" s="167"/>
      <c r="K78" s="167"/>
    </row>
    <row r="79" spans="2:15" s="170" customFormat="1" x14ac:dyDescent="0.15">
      <c r="B79" s="167"/>
      <c r="C79" s="167"/>
      <c r="D79" s="167"/>
      <c r="E79" s="167"/>
      <c r="F79" s="167"/>
      <c r="G79" s="167"/>
      <c r="H79" s="167"/>
      <c r="I79" s="167"/>
      <c r="J79" s="167"/>
      <c r="K79" s="167"/>
    </row>
    <row r="80" spans="2:15" s="170" customFormat="1" x14ac:dyDescent="0.15">
      <c r="B80" s="167"/>
      <c r="C80" s="167"/>
      <c r="D80" s="167"/>
      <c r="E80" s="167"/>
      <c r="F80" s="167"/>
      <c r="G80" s="167"/>
      <c r="H80" s="167"/>
      <c r="I80" s="167"/>
      <c r="J80" s="167"/>
      <c r="K80" s="167"/>
    </row>
    <row r="81" spans="2:11" s="170" customFormat="1" x14ac:dyDescent="0.15">
      <c r="B81" s="167"/>
      <c r="C81" s="167"/>
      <c r="D81" s="167"/>
      <c r="E81" s="167"/>
      <c r="F81" s="167"/>
      <c r="G81" s="167"/>
      <c r="H81" s="167"/>
      <c r="I81" s="167"/>
      <c r="J81" s="167"/>
      <c r="K81" s="167"/>
    </row>
    <row r="82" spans="2:11" s="170" customFormat="1" x14ac:dyDescent="0.15">
      <c r="B82" s="167"/>
      <c r="C82" s="167"/>
      <c r="D82" s="167"/>
      <c r="E82" s="167"/>
      <c r="F82" s="167"/>
      <c r="G82" s="167"/>
      <c r="H82" s="167"/>
      <c r="I82" s="167"/>
      <c r="J82" s="167"/>
      <c r="K82" s="167"/>
    </row>
    <row r="83" spans="2:11" s="170" customFormat="1" x14ac:dyDescent="0.15">
      <c r="B83" s="167"/>
      <c r="C83" s="167"/>
      <c r="D83" s="167"/>
      <c r="E83" s="167"/>
      <c r="F83" s="167"/>
      <c r="G83" s="167"/>
      <c r="H83" s="167"/>
      <c r="I83" s="167"/>
      <c r="J83" s="167"/>
      <c r="K83" s="167"/>
    </row>
    <row r="84" spans="2:11" s="170" customFormat="1" x14ac:dyDescent="0.15">
      <c r="B84" s="167"/>
      <c r="C84" s="167"/>
      <c r="D84" s="167"/>
      <c r="E84" s="167"/>
      <c r="F84" s="167"/>
      <c r="G84" s="167"/>
      <c r="H84" s="167"/>
      <c r="I84" s="167"/>
      <c r="J84" s="167"/>
      <c r="K84" s="167"/>
    </row>
    <row r="85" spans="2:11" s="170" customFormat="1" x14ac:dyDescent="0.15">
      <c r="B85" s="167"/>
      <c r="C85" s="167"/>
      <c r="D85" s="167"/>
      <c r="E85" s="167"/>
      <c r="F85" s="167"/>
      <c r="G85" s="167"/>
      <c r="H85" s="167"/>
      <c r="I85" s="167"/>
      <c r="J85" s="167"/>
      <c r="K85" s="167"/>
    </row>
    <row r="86" spans="2:11" s="170" customFormat="1" x14ac:dyDescent="0.15">
      <c r="B86" s="167"/>
      <c r="C86" s="167"/>
      <c r="D86" s="167"/>
      <c r="E86" s="167"/>
      <c r="F86" s="167"/>
      <c r="G86" s="167"/>
      <c r="H86" s="167"/>
      <c r="I86" s="167"/>
      <c r="J86" s="167"/>
      <c r="K86" s="167"/>
    </row>
    <row r="87" spans="2:11" s="170" customFormat="1" x14ac:dyDescent="0.15">
      <c r="B87" s="167"/>
      <c r="C87" s="167"/>
      <c r="D87" s="167"/>
      <c r="E87" s="167"/>
      <c r="F87" s="167"/>
      <c r="G87" s="167"/>
      <c r="H87" s="167"/>
      <c r="I87" s="167"/>
      <c r="J87" s="167"/>
      <c r="K87" s="167"/>
    </row>
    <row r="88" spans="2:11" s="170" customFormat="1" x14ac:dyDescent="0.15">
      <c r="B88" s="167"/>
      <c r="C88" s="167"/>
      <c r="D88" s="167"/>
      <c r="E88" s="167"/>
      <c r="F88" s="167"/>
      <c r="G88" s="167"/>
      <c r="H88" s="167"/>
      <c r="I88" s="167"/>
      <c r="J88" s="167"/>
      <c r="K88" s="167"/>
    </row>
    <row r="89" spans="2:11" s="170" customFormat="1" x14ac:dyDescent="0.15">
      <c r="B89" s="167"/>
      <c r="C89" s="167"/>
      <c r="D89" s="167"/>
      <c r="E89" s="167"/>
      <c r="F89" s="167"/>
      <c r="G89" s="167"/>
      <c r="H89" s="167"/>
      <c r="I89" s="167"/>
      <c r="J89" s="167"/>
      <c r="K89" s="167"/>
    </row>
    <row r="90" spans="2:11" s="170" customFormat="1" x14ac:dyDescent="0.15">
      <c r="B90" s="167"/>
      <c r="C90" s="167"/>
      <c r="D90" s="167"/>
      <c r="E90" s="167"/>
      <c r="F90" s="167"/>
      <c r="G90" s="167"/>
      <c r="H90" s="167"/>
      <c r="I90" s="167"/>
      <c r="J90" s="167"/>
      <c r="K90" s="167"/>
    </row>
    <row r="91" spans="2:11" s="170" customFormat="1" x14ac:dyDescent="0.15">
      <c r="B91" s="167"/>
      <c r="C91" s="167"/>
      <c r="D91" s="167"/>
      <c r="E91" s="167"/>
      <c r="F91" s="167"/>
      <c r="G91" s="167"/>
      <c r="H91" s="167"/>
      <c r="I91" s="167"/>
      <c r="J91" s="167"/>
      <c r="K91" s="167"/>
    </row>
    <row r="92" spans="2:11" s="170" customFormat="1" x14ac:dyDescent="0.15">
      <c r="B92" s="167"/>
      <c r="C92" s="167"/>
      <c r="D92" s="167"/>
      <c r="E92" s="167"/>
      <c r="F92" s="167"/>
      <c r="G92" s="167"/>
      <c r="H92" s="167"/>
      <c r="I92" s="167"/>
      <c r="J92" s="167"/>
      <c r="K92" s="167"/>
    </row>
    <row r="93" spans="2:11" s="170" customFormat="1" x14ac:dyDescent="0.15">
      <c r="B93" s="167"/>
      <c r="C93" s="167"/>
      <c r="D93" s="167"/>
      <c r="E93" s="167"/>
      <c r="F93" s="167"/>
      <c r="G93" s="167"/>
      <c r="H93" s="167"/>
      <c r="I93" s="167"/>
      <c r="J93" s="167"/>
      <c r="K93" s="167"/>
    </row>
    <row r="94" spans="2:11" s="170" customFormat="1" x14ac:dyDescent="0.15">
      <c r="B94" s="167"/>
      <c r="C94" s="167"/>
      <c r="D94" s="167"/>
      <c r="E94" s="167"/>
      <c r="F94" s="167"/>
      <c r="G94" s="167"/>
      <c r="H94" s="167"/>
      <c r="I94" s="167"/>
      <c r="J94" s="167"/>
      <c r="K94" s="167"/>
    </row>
    <row r="95" spans="2:11" s="170" customFormat="1" x14ac:dyDescent="0.15">
      <c r="B95" s="167"/>
      <c r="C95" s="167"/>
      <c r="D95" s="167"/>
      <c r="E95" s="167"/>
      <c r="F95" s="167"/>
      <c r="G95" s="167"/>
      <c r="H95" s="167"/>
      <c r="I95" s="167"/>
      <c r="J95" s="167"/>
      <c r="K95" s="167"/>
    </row>
    <row r="96" spans="2:11" s="170" customFormat="1" x14ac:dyDescent="0.15">
      <c r="B96" s="167"/>
      <c r="C96" s="167"/>
      <c r="D96" s="167"/>
      <c r="E96" s="167"/>
      <c r="F96" s="167"/>
      <c r="G96" s="167"/>
      <c r="H96" s="167"/>
      <c r="I96" s="167"/>
      <c r="J96" s="167"/>
      <c r="K96" s="167"/>
    </row>
    <row r="97" spans="2:11" s="170" customFormat="1" x14ac:dyDescent="0.15">
      <c r="B97" s="167"/>
      <c r="C97" s="167"/>
      <c r="D97" s="167"/>
      <c r="E97" s="167"/>
      <c r="F97" s="167"/>
      <c r="G97" s="167"/>
      <c r="H97" s="167"/>
      <c r="I97" s="167"/>
      <c r="J97" s="167"/>
      <c r="K97" s="167"/>
    </row>
    <row r="98" spans="2:11" s="170" customFormat="1" x14ac:dyDescent="0.15">
      <c r="B98" s="167"/>
      <c r="C98" s="167"/>
      <c r="D98" s="167"/>
      <c r="E98" s="167"/>
      <c r="F98" s="167"/>
      <c r="G98" s="167"/>
      <c r="H98" s="167"/>
      <c r="I98" s="167"/>
      <c r="J98" s="167"/>
      <c r="K98" s="167"/>
    </row>
    <row r="99" spans="2:11" s="170" customFormat="1" x14ac:dyDescent="0.15">
      <c r="B99" s="167"/>
      <c r="C99" s="167"/>
      <c r="D99" s="167"/>
      <c r="E99" s="167"/>
      <c r="F99" s="167"/>
      <c r="G99" s="167"/>
      <c r="H99" s="167"/>
      <c r="I99" s="167"/>
      <c r="J99" s="167"/>
      <c r="K99" s="167"/>
    </row>
    <row r="100" spans="2:11" s="170" customFormat="1" x14ac:dyDescent="0.15"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</row>
    <row r="101" spans="2:11" s="170" customFormat="1" x14ac:dyDescent="0.15"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</row>
    <row r="102" spans="2:11" s="170" customFormat="1" x14ac:dyDescent="0.15"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</row>
    <row r="103" spans="2:11" s="170" customFormat="1" x14ac:dyDescent="0.15"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</row>
    <row r="104" spans="2:11" s="170" customFormat="1" x14ac:dyDescent="0.15"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</row>
    <row r="105" spans="2:11" s="170" customFormat="1" x14ac:dyDescent="0.15"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</row>
    <row r="106" spans="2:11" s="170" customFormat="1" x14ac:dyDescent="0.15"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</row>
    <row r="107" spans="2:11" s="170" customFormat="1" x14ac:dyDescent="0.15"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</row>
    <row r="108" spans="2:11" s="170" customFormat="1" x14ac:dyDescent="0.15"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</row>
    <row r="109" spans="2:11" s="170" customFormat="1" x14ac:dyDescent="0.15"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</row>
    <row r="110" spans="2:11" s="170" customFormat="1" x14ac:dyDescent="0.15"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</row>
    <row r="111" spans="2:11" s="170" customFormat="1" x14ac:dyDescent="0.15"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</row>
    <row r="112" spans="2:11" s="170" customFormat="1" x14ac:dyDescent="0.15"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</row>
    <row r="113" spans="2:15" s="170" customFormat="1" x14ac:dyDescent="0.15"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</row>
    <row r="114" spans="2:15" s="170" customFormat="1" x14ac:dyDescent="0.1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</row>
    <row r="115" spans="2:15" x14ac:dyDescent="0.15">
      <c r="L115" s="170"/>
      <c r="M115" s="170"/>
      <c r="N115" s="170"/>
      <c r="O115" s="170"/>
    </row>
    <row r="116" spans="2:15" x14ac:dyDescent="0.15">
      <c r="O116" s="170"/>
    </row>
  </sheetData>
  <sheetProtection algorithmName="SHA-512" hashValue="ZX9/IBRrKk+agd7eMze5X2fjCaVtFufjQ2xP1RqCyQQABr8S2wGUN7osFfCOvHSETfBLZthK8CM1vq1tyyX1jw==" saltValue="Sbm32K7wDPjTyLx2W+19TQ==" spinCount="100000" sheet="1" objects="1" scenarios="1" selectLockedCells="1"/>
  <customSheetViews>
    <customSheetView guid="{82B311FB-57F0-41B4-A7C3-5882014D86A1}" scale="50" fitToPage="1" topLeftCell="A12">
      <selection activeCell="A9" sqref="A9"/>
      <pageMargins left="0" right="0" top="0.39370078740157483" bottom="0.78740157480314965" header="0.19685039370078741" footer="0.19685039370078741"/>
      <printOptions horizontalCentered="1"/>
      <pageSetup paperSize="9" scale="57" orientation="portrait" r:id="rId1"/>
      <headerFooter alignWithMargins="0"/>
    </customSheetView>
  </customSheetViews>
  <mergeCells count="29">
    <mergeCell ref="B10:C10"/>
    <mergeCell ref="D10:E10"/>
    <mergeCell ref="G10:H10"/>
    <mergeCell ref="D7:E7"/>
    <mergeCell ref="D8:E8"/>
    <mergeCell ref="D9:E9"/>
    <mergeCell ref="B2:I2"/>
    <mergeCell ref="B3:D3"/>
    <mergeCell ref="B4:D4"/>
    <mergeCell ref="B9:C9"/>
    <mergeCell ref="G9:H9"/>
    <mergeCell ref="B7:C7"/>
    <mergeCell ref="G7:H7"/>
    <mergeCell ref="B8:C8"/>
    <mergeCell ref="G8:H8"/>
    <mergeCell ref="B6:C6"/>
    <mergeCell ref="G6:H6"/>
    <mergeCell ref="D6:E6"/>
    <mergeCell ref="B14:C14"/>
    <mergeCell ref="B12:I12"/>
    <mergeCell ref="B22:C22"/>
    <mergeCell ref="B20:C20"/>
    <mergeCell ref="B21:C21"/>
    <mergeCell ref="B16:C16"/>
    <mergeCell ref="B17:C17"/>
    <mergeCell ref="B18:C18"/>
    <mergeCell ref="B19:C19"/>
    <mergeCell ref="B13:C13"/>
    <mergeCell ref="B15:C15"/>
  </mergeCells>
  <conditionalFormatting sqref="D14:I20">
    <cfRule type="cellIs" dxfId="1" priority="1" operator="equal">
      <formula>0</formula>
    </cfRule>
  </conditionalFormatting>
  <printOptions horizontalCentered="1"/>
  <pageMargins left="0" right="0" top="0.39370078740157483" bottom="0.78740157480314965" header="0.19685039370078741" footer="0.19685039370078741"/>
  <pageSetup paperSize="9" scale="57" orientation="portrait" r:id="rId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1DC4-BDDE-4143-BEEC-A8894A6EAECE}">
  <sheetPr codeName="Sheet16">
    <tabColor rgb="FF0070C0"/>
    <pageSetUpPr fitToPage="1"/>
  </sheetPr>
  <dimension ref="A1:Y131"/>
  <sheetViews>
    <sheetView zoomScale="70" workbookViewId="0">
      <selection activeCell="A17" sqref="A17"/>
    </sheetView>
  </sheetViews>
  <sheetFormatPr defaultColWidth="9.16796875" defaultRowHeight="32.25" x14ac:dyDescent="0.15"/>
  <cols>
    <col min="1" max="1" width="4.58203125" style="167" customWidth="1"/>
    <col min="2" max="2" width="9.57421875" style="167" customWidth="1"/>
    <col min="3" max="3" width="18.7421875" style="188" customWidth="1"/>
    <col min="4" max="15" width="12.80859375" style="167" customWidth="1"/>
    <col min="16" max="16" width="2.15625" style="167" customWidth="1"/>
    <col min="17" max="17" width="17.39453125" style="167" customWidth="1"/>
    <col min="18" max="18" width="19.01171875" style="189" customWidth="1"/>
    <col min="19" max="19" width="16.85546875" style="167" customWidth="1"/>
    <col min="20" max="20" width="26.8359375" style="167" bestFit="1" customWidth="1"/>
    <col min="21" max="21" width="4.44921875" style="167" customWidth="1"/>
    <col min="22" max="22" width="4.8515625" style="167" customWidth="1"/>
    <col min="23" max="23" width="9.16796875" style="167" customWidth="1"/>
    <col min="24" max="24" width="9.16796875" style="167"/>
    <col min="25" max="25" width="34.38671875" style="167" customWidth="1"/>
    <col min="26" max="16384" width="9.16796875" style="167"/>
  </cols>
  <sheetData>
    <row r="1" spans="1:23" s="175" customFormat="1" ht="26.25" customHeight="1" thickBot="1" x14ac:dyDescent="0.2">
      <c r="A1" s="491"/>
      <c r="B1" s="491"/>
      <c r="C1" s="75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752"/>
      <c r="S1" s="491"/>
      <c r="T1" s="745"/>
      <c r="U1" s="492"/>
      <c r="W1" s="176"/>
    </row>
    <row r="2" spans="1:23" ht="34.15" customHeight="1" thickBot="1" x14ac:dyDescent="0.2">
      <c r="A2" s="491"/>
      <c r="B2" s="481" t="s">
        <v>12</v>
      </c>
      <c r="C2" s="472" t="s">
        <v>76</v>
      </c>
      <c r="D2" s="478">
        <v>1</v>
      </c>
      <c r="E2" s="478">
        <v>2</v>
      </c>
      <c r="F2" s="478">
        <v>3</v>
      </c>
      <c r="G2" s="478">
        <v>4</v>
      </c>
      <c r="H2" s="478">
        <v>5</v>
      </c>
      <c r="I2" s="478">
        <v>6</v>
      </c>
      <c r="J2" s="478">
        <v>7</v>
      </c>
      <c r="K2" s="478">
        <v>8</v>
      </c>
      <c r="L2" s="478">
        <v>9</v>
      </c>
      <c r="M2" s="478">
        <v>10</v>
      </c>
      <c r="N2" s="478">
        <v>11</v>
      </c>
      <c r="O2" s="479">
        <v>12</v>
      </c>
      <c r="P2" s="754"/>
      <c r="Q2" s="753"/>
      <c r="R2" s="758"/>
      <c r="S2" s="178">
        <f>'ขายรายเดือน 1'!S18</f>
        <v>315000</v>
      </c>
      <c r="T2" s="483" t="s">
        <v>287</v>
      </c>
      <c r="U2" s="492"/>
    </row>
    <row r="3" spans="1:23" ht="34.15" customHeight="1" thickBot="1" x14ac:dyDescent="0.2">
      <c r="A3" s="491"/>
      <c r="B3" s="838">
        <v>1</v>
      </c>
      <c r="C3" s="513" t="s">
        <v>32</v>
      </c>
      <c r="D3" s="181">
        <f>'ขายรายเดือน 1'!D19</f>
        <v>10</v>
      </c>
      <c r="E3" s="181">
        <f>'ขายรายเดือน 1'!E19</f>
        <v>10</v>
      </c>
      <c r="F3" s="181">
        <f>'ขายรายเดือน 1'!F19</f>
        <v>10</v>
      </c>
      <c r="G3" s="181">
        <f>'ขายรายเดือน 1'!G19</f>
        <v>10</v>
      </c>
      <c r="H3" s="181">
        <f>'ขายรายเดือน 1'!H19</f>
        <v>10</v>
      </c>
      <c r="I3" s="181">
        <f>'ขายรายเดือน 1'!I19</f>
        <v>10</v>
      </c>
      <c r="J3" s="181">
        <f>'ขายรายเดือน 1'!J19</f>
        <v>10</v>
      </c>
      <c r="K3" s="181">
        <f>'ขายรายเดือน 1'!K19</f>
        <v>10</v>
      </c>
      <c r="L3" s="181">
        <f>'ขายรายเดือน 1'!L19</f>
        <v>10</v>
      </c>
      <c r="M3" s="181">
        <f>'ขายรายเดือน 1'!M19</f>
        <v>10</v>
      </c>
      <c r="N3" s="181">
        <f>'ขายรายเดือน 1'!N19</f>
        <v>10</v>
      </c>
      <c r="O3" s="182">
        <f>'ขายรายเดือน 1'!O19</f>
        <v>10</v>
      </c>
      <c r="P3" s="755"/>
      <c r="Q3" s="178">
        <f>'ขายรายเดือน 1'!Q19</f>
        <v>120</v>
      </c>
      <c r="R3" s="198" t="s">
        <v>32</v>
      </c>
      <c r="S3" s="183">
        <f>'ขายรายเดือน 1'!S19</f>
        <v>315000</v>
      </c>
      <c r="T3" s="484" t="s">
        <v>288</v>
      </c>
      <c r="U3" s="492"/>
    </row>
    <row r="4" spans="1:23" ht="34.15" customHeight="1" thickBot="1" x14ac:dyDescent="0.2">
      <c r="A4" s="491"/>
      <c r="B4" s="839"/>
      <c r="C4" s="514" t="s">
        <v>9</v>
      </c>
      <c r="D4" s="173">
        <f>'ขายรายเดือน 1'!D20</f>
        <v>100000</v>
      </c>
      <c r="E4" s="173">
        <f>'ขายรายเดือน 1'!E20</f>
        <v>100000</v>
      </c>
      <c r="F4" s="173">
        <f>'ขายรายเดือน 1'!F20</f>
        <v>100000</v>
      </c>
      <c r="G4" s="173">
        <f>'ขายรายเดือน 1'!G20</f>
        <v>100000</v>
      </c>
      <c r="H4" s="173">
        <f>'ขายรายเดือน 1'!H20</f>
        <v>100000</v>
      </c>
      <c r="I4" s="173">
        <f>'ขายรายเดือน 1'!I20</f>
        <v>100000</v>
      </c>
      <c r="J4" s="173">
        <f>'ขายรายเดือน 1'!J20</f>
        <v>100000</v>
      </c>
      <c r="K4" s="173">
        <f>'ขายรายเดือน 1'!K20</f>
        <v>100000</v>
      </c>
      <c r="L4" s="173">
        <f>'ขายรายเดือน 1'!L20</f>
        <v>100000</v>
      </c>
      <c r="M4" s="173">
        <f>'ขายรายเดือน 1'!M20</f>
        <v>100000</v>
      </c>
      <c r="N4" s="173">
        <f>'ขายรายเดือน 1'!N20</f>
        <v>100000</v>
      </c>
      <c r="O4" s="174">
        <f>'ขายรายเดือน 1'!O20</f>
        <v>100000</v>
      </c>
      <c r="P4" s="755"/>
      <c r="Q4" s="183">
        <f>'ขายรายเดือน 1'!Q20</f>
        <v>1200000</v>
      </c>
      <c r="R4" s="199" t="s">
        <v>77</v>
      </c>
      <c r="S4" s="184">
        <f>'ขายรายเดือน 1'!S20</f>
        <v>0</v>
      </c>
      <c r="T4" s="484" t="s">
        <v>161</v>
      </c>
      <c r="U4" s="492"/>
    </row>
    <row r="5" spans="1:23" ht="34.15" customHeight="1" thickBot="1" x14ac:dyDescent="0.2">
      <c r="A5" s="491"/>
      <c r="B5" s="839"/>
      <c r="C5" s="515" t="s">
        <v>3</v>
      </c>
      <c r="D5" s="185">
        <f>'ขายรายเดือน 1'!D21</f>
        <v>250000</v>
      </c>
      <c r="E5" s="185">
        <f>'ขายรายเดือน 1'!E21</f>
        <v>250000</v>
      </c>
      <c r="F5" s="185">
        <f>'ขายรายเดือน 1'!F21</f>
        <v>250000</v>
      </c>
      <c r="G5" s="185">
        <f>'ขายรายเดือน 1'!G21</f>
        <v>250000</v>
      </c>
      <c r="H5" s="185">
        <f>'ขายรายเดือน 1'!H21</f>
        <v>250000</v>
      </c>
      <c r="I5" s="185">
        <f>'ขายรายเดือน 1'!I21</f>
        <v>250000</v>
      </c>
      <c r="J5" s="185">
        <f>'ขายรายเดือน 1'!J21</f>
        <v>250000</v>
      </c>
      <c r="K5" s="185">
        <f>'ขายรายเดือน 1'!K21</f>
        <v>250000</v>
      </c>
      <c r="L5" s="185">
        <f>'ขายรายเดือน 1'!L21</f>
        <v>250000</v>
      </c>
      <c r="M5" s="185">
        <f>'ขายรายเดือน 1'!M21</f>
        <v>250000</v>
      </c>
      <c r="N5" s="185">
        <f>'ขายรายเดือน 1'!N21</f>
        <v>250000</v>
      </c>
      <c r="O5" s="186">
        <f>'ขายรายเดือน 1'!O21</f>
        <v>250000</v>
      </c>
      <c r="P5" s="755"/>
      <c r="Q5" s="187">
        <f>'ขายรายเดือน 1'!Q21</f>
        <v>3000000</v>
      </c>
      <c r="R5" s="200" t="s">
        <v>78</v>
      </c>
      <c r="S5" s="518">
        <f>'ขายรายเดือน 1'!S21</f>
        <v>40000</v>
      </c>
      <c r="T5" s="484" t="s">
        <v>286</v>
      </c>
      <c r="U5" s="492"/>
    </row>
    <row r="6" spans="1:23" ht="34.15" customHeight="1" thickBot="1" x14ac:dyDescent="0.2">
      <c r="A6" s="491"/>
      <c r="B6" s="492"/>
      <c r="C6" s="747"/>
      <c r="D6" s="753"/>
      <c r="E6" s="753"/>
      <c r="F6" s="753"/>
      <c r="G6" s="753"/>
      <c r="H6" s="753"/>
      <c r="I6" s="753"/>
      <c r="J6" s="753"/>
      <c r="K6" s="753"/>
      <c r="L6" s="753"/>
      <c r="M6" s="753"/>
      <c r="N6" s="753"/>
      <c r="O6" s="753"/>
      <c r="P6" s="492"/>
      <c r="Q6" s="492"/>
      <c r="R6" s="493"/>
      <c r="S6" s="187">
        <f>'ขายรายเดือน 1'!S22</f>
        <v>45000</v>
      </c>
      <c r="T6" s="485" t="s">
        <v>285</v>
      </c>
      <c r="U6" s="492"/>
    </row>
    <row r="7" spans="1:23" ht="12" customHeight="1" thickBot="1" x14ac:dyDescent="0.2">
      <c r="A7" s="491"/>
      <c r="B7" s="492"/>
      <c r="C7" s="747"/>
      <c r="D7" s="753"/>
      <c r="E7" s="753"/>
      <c r="F7" s="753"/>
      <c r="G7" s="753"/>
      <c r="H7" s="753"/>
      <c r="I7" s="753"/>
      <c r="J7" s="753"/>
      <c r="K7" s="753"/>
      <c r="L7" s="753"/>
      <c r="M7" s="753"/>
      <c r="N7" s="753"/>
      <c r="O7" s="753"/>
      <c r="P7" s="492"/>
      <c r="Q7" s="492"/>
      <c r="R7" s="493"/>
      <c r="S7" s="493"/>
      <c r="T7" s="493"/>
      <c r="U7" s="492"/>
    </row>
    <row r="8" spans="1:23" ht="34.15" customHeight="1" thickBot="1" x14ac:dyDescent="0.2">
      <c r="A8" s="491"/>
      <c r="B8" s="482" t="s">
        <v>12</v>
      </c>
      <c r="C8" s="473" t="s">
        <v>76</v>
      </c>
      <c r="D8" s="478">
        <v>13</v>
      </c>
      <c r="E8" s="478">
        <v>14</v>
      </c>
      <c r="F8" s="478">
        <v>15</v>
      </c>
      <c r="G8" s="478">
        <v>16</v>
      </c>
      <c r="H8" s="478">
        <v>17</v>
      </c>
      <c r="I8" s="478">
        <v>18</v>
      </c>
      <c r="J8" s="478">
        <v>19</v>
      </c>
      <c r="K8" s="478">
        <v>20</v>
      </c>
      <c r="L8" s="478">
        <v>21</v>
      </c>
      <c r="M8" s="478">
        <v>22</v>
      </c>
      <c r="N8" s="478">
        <v>23</v>
      </c>
      <c r="O8" s="479">
        <v>24</v>
      </c>
      <c r="P8" s="492"/>
      <c r="Q8" s="492"/>
      <c r="R8" s="493"/>
      <c r="S8" s="493"/>
      <c r="T8" s="493"/>
      <c r="U8" s="492"/>
    </row>
    <row r="9" spans="1:23" ht="34.15" customHeight="1" x14ac:dyDescent="0.15">
      <c r="A9" s="491"/>
      <c r="B9" s="833">
        <v>2</v>
      </c>
      <c r="C9" s="516" t="s">
        <v>32</v>
      </c>
      <c r="D9" s="171">
        <f>'ขายรายเดือน 1'!D25</f>
        <v>10</v>
      </c>
      <c r="E9" s="171">
        <f>'ขายรายเดือน 1'!E25</f>
        <v>10</v>
      </c>
      <c r="F9" s="171">
        <f>'ขายรายเดือน 1'!F25</f>
        <v>10</v>
      </c>
      <c r="G9" s="171">
        <f>'ขายรายเดือน 1'!G25</f>
        <v>10</v>
      </c>
      <c r="H9" s="171">
        <f>'ขายรายเดือน 1'!H25</f>
        <v>10</v>
      </c>
      <c r="I9" s="171">
        <f>'ขายรายเดือน 1'!I25</f>
        <v>10</v>
      </c>
      <c r="J9" s="171">
        <f>'ขายรายเดือน 1'!J25</f>
        <v>10</v>
      </c>
      <c r="K9" s="171">
        <f>'ขายรายเดือน 1'!K25</f>
        <v>10</v>
      </c>
      <c r="L9" s="171">
        <f>'ขายรายเดือน 1'!L25</f>
        <v>10</v>
      </c>
      <c r="M9" s="171">
        <f>'ขายรายเดือน 1'!M25</f>
        <v>10</v>
      </c>
      <c r="N9" s="171">
        <f>'ขายรายเดือน 1'!N25</f>
        <v>10</v>
      </c>
      <c r="O9" s="172">
        <f>'ขายรายเดือน 1'!O25</f>
        <v>10</v>
      </c>
      <c r="P9" s="756"/>
      <c r="Q9" s="178">
        <f>'ขายรายเดือน 1'!Q25</f>
        <v>120</v>
      </c>
      <c r="R9" s="198" t="s">
        <v>32</v>
      </c>
      <c r="S9" s="178">
        <f>'ขายรายเดือน 1'!S25</f>
        <v>315000</v>
      </c>
      <c r="T9" s="483" t="s">
        <v>287</v>
      </c>
      <c r="U9" s="492"/>
    </row>
    <row r="10" spans="1:23" ht="34.15" customHeight="1" x14ac:dyDescent="0.15">
      <c r="A10" s="491"/>
      <c r="B10" s="834"/>
      <c r="C10" s="516" t="s">
        <v>9</v>
      </c>
      <c r="D10" s="173">
        <f>'ขายรายเดือน 1'!D26</f>
        <v>100000</v>
      </c>
      <c r="E10" s="173">
        <f>'ขายรายเดือน 1'!E26</f>
        <v>100000</v>
      </c>
      <c r="F10" s="173">
        <f>'ขายรายเดือน 1'!F26</f>
        <v>100000</v>
      </c>
      <c r="G10" s="173">
        <f>'ขายรายเดือน 1'!G26</f>
        <v>100000</v>
      </c>
      <c r="H10" s="173">
        <f>'ขายรายเดือน 1'!H26</f>
        <v>100000</v>
      </c>
      <c r="I10" s="173">
        <f>'ขายรายเดือน 1'!I26</f>
        <v>100000</v>
      </c>
      <c r="J10" s="173">
        <f>'ขายรายเดือน 1'!J26</f>
        <v>100000</v>
      </c>
      <c r="K10" s="173">
        <f>'ขายรายเดือน 1'!K26</f>
        <v>100000</v>
      </c>
      <c r="L10" s="173">
        <f>'ขายรายเดือน 1'!L26</f>
        <v>100000</v>
      </c>
      <c r="M10" s="173">
        <f>'ขายรายเดือน 1'!M26</f>
        <v>100000</v>
      </c>
      <c r="N10" s="173">
        <f>'ขายรายเดือน 1'!N26</f>
        <v>100000</v>
      </c>
      <c r="O10" s="174">
        <f>'ขายรายเดือน 1'!O26</f>
        <v>100000</v>
      </c>
      <c r="P10" s="756"/>
      <c r="Q10" s="183">
        <f>'ขายรายเดือน 1'!Q26</f>
        <v>1200000</v>
      </c>
      <c r="R10" s="199" t="s">
        <v>77</v>
      </c>
      <c r="S10" s="183">
        <f>'ขายรายเดือน 1'!S26</f>
        <v>315000</v>
      </c>
      <c r="T10" s="484" t="s">
        <v>288</v>
      </c>
      <c r="U10" s="492"/>
    </row>
    <row r="11" spans="1:23" ht="34.15" customHeight="1" x14ac:dyDescent="0.15">
      <c r="A11" s="491"/>
      <c r="B11" s="834"/>
      <c r="C11" s="516" t="s">
        <v>3</v>
      </c>
      <c r="D11" s="173">
        <f>'ขายรายเดือน 1'!D27</f>
        <v>250000</v>
      </c>
      <c r="E11" s="173">
        <f>'ขายรายเดือน 1'!E27</f>
        <v>250000</v>
      </c>
      <c r="F11" s="173">
        <f>'ขายรายเดือน 1'!F27</f>
        <v>250000</v>
      </c>
      <c r="G11" s="173">
        <f>'ขายรายเดือน 1'!G27</f>
        <v>250000</v>
      </c>
      <c r="H11" s="173">
        <f>'ขายรายเดือน 1'!H27</f>
        <v>250000</v>
      </c>
      <c r="I11" s="173">
        <f>'ขายรายเดือน 1'!I27</f>
        <v>250000</v>
      </c>
      <c r="J11" s="173">
        <f>'ขายรายเดือน 1'!J27</f>
        <v>250000</v>
      </c>
      <c r="K11" s="173">
        <f>'ขายรายเดือน 1'!K27</f>
        <v>250000</v>
      </c>
      <c r="L11" s="173">
        <f>'ขายรายเดือน 1'!L27</f>
        <v>250000</v>
      </c>
      <c r="M11" s="173">
        <f>'ขายรายเดือน 1'!M27</f>
        <v>250000</v>
      </c>
      <c r="N11" s="173">
        <f>'ขายรายเดือน 1'!N27</f>
        <v>250000</v>
      </c>
      <c r="O11" s="174">
        <f>'ขายรายเดือน 1'!O27</f>
        <v>250000</v>
      </c>
      <c r="P11" s="756"/>
      <c r="Q11" s="183">
        <f>'ขายรายเดือน 1'!Q27</f>
        <v>3000000</v>
      </c>
      <c r="R11" s="199" t="s">
        <v>78</v>
      </c>
      <c r="S11" s="184">
        <f>'ขายรายเดือน 1'!S27</f>
        <v>0</v>
      </c>
      <c r="T11" s="484" t="s">
        <v>161</v>
      </c>
      <c r="U11" s="492"/>
    </row>
    <row r="12" spans="1:23" ht="34.15" customHeight="1" thickBot="1" x14ac:dyDescent="0.2">
      <c r="A12" s="491"/>
      <c r="B12" s="835"/>
      <c r="C12" s="517" t="s">
        <v>79</v>
      </c>
      <c r="D12" s="192">
        <f>'ขายรายเดือน 1'!D28</f>
        <v>30000</v>
      </c>
      <c r="E12" s="192">
        <f>'ขายรายเดือน 1'!E28</f>
        <v>30000</v>
      </c>
      <c r="F12" s="192">
        <f>'ขายรายเดือน 1'!F28</f>
        <v>30000</v>
      </c>
      <c r="G12" s="192">
        <f>'ขายรายเดือน 1'!G28</f>
        <v>30000</v>
      </c>
      <c r="H12" s="192">
        <f>'ขายรายเดือน 1'!H28</f>
        <v>30000</v>
      </c>
      <c r="I12" s="192">
        <f>'ขายรายเดือน 1'!I28</f>
        <v>30000</v>
      </c>
      <c r="J12" s="192">
        <f>'ขายรายเดือน 1'!J28</f>
        <v>30000</v>
      </c>
      <c r="K12" s="192">
        <f>'ขายรายเดือน 1'!K28</f>
        <v>30000</v>
      </c>
      <c r="L12" s="192">
        <f>'ขายรายเดือน 1'!L28</f>
        <v>30000</v>
      </c>
      <c r="M12" s="192">
        <f>'ขายรายเดือน 1'!M28</f>
        <v>30000</v>
      </c>
      <c r="N12" s="192">
        <f>'ขายรายเดือน 1'!N28</f>
        <v>30000</v>
      </c>
      <c r="O12" s="193">
        <f>'ขายรายเดือน 1'!O28</f>
        <v>30000</v>
      </c>
      <c r="P12" s="757"/>
      <c r="Q12" s="195">
        <f>'ขายรายเดือน 1'!Q28</f>
        <v>360000</v>
      </c>
      <c r="R12" s="201" t="s">
        <v>79</v>
      </c>
      <c r="S12" s="184">
        <f>'ขายรายเดือน 1'!S28</f>
        <v>0</v>
      </c>
      <c r="T12" s="484" t="s">
        <v>286</v>
      </c>
      <c r="U12" s="492"/>
    </row>
    <row r="13" spans="1:23" ht="34.15" customHeight="1" thickBot="1" x14ac:dyDescent="0.2">
      <c r="A13" s="491"/>
      <c r="B13" s="492"/>
      <c r="C13" s="747"/>
      <c r="D13" s="753"/>
      <c r="E13" s="753"/>
      <c r="F13" s="753"/>
      <c r="G13" s="753"/>
      <c r="H13" s="753"/>
      <c r="I13" s="753"/>
      <c r="J13" s="753"/>
      <c r="K13" s="753"/>
      <c r="L13" s="753"/>
      <c r="M13" s="753"/>
      <c r="N13" s="753"/>
      <c r="O13" s="753"/>
      <c r="P13" s="753"/>
      <c r="Q13" s="753"/>
      <c r="R13" s="758"/>
      <c r="S13" s="187">
        <f>'ขายรายเดือน 1'!S29</f>
        <v>45000</v>
      </c>
      <c r="T13" s="485" t="s">
        <v>285</v>
      </c>
      <c r="U13" s="492"/>
    </row>
    <row r="14" spans="1:23" ht="12" customHeight="1" thickBot="1" x14ac:dyDescent="0.2">
      <c r="A14" s="491"/>
      <c r="B14" s="492"/>
      <c r="C14" s="747"/>
      <c r="D14" s="753"/>
      <c r="E14" s="753"/>
      <c r="F14" s="753"/>
      <c r="G14" s="753"/>
      <c r="H14" s="753"/>
      <c r="I14" s="753"/>
      <c r="J14" s="753"/>
      <c r="K14" s="753"/>
      <c r="L14" s="753"/>
      <c r="M14" s="753"/>
      <c r="N14" s="753"/>
      <c r="O14" s="753"/>
      <c r="P14" s="753"/>
      <c r="Q14" s="753"/>
      <c r="R14" s="758"/>
      <c r="S14" s="753"/>
      <c r="T14" s="493"/>
      <c r="U14" s="492"/>
    </row>
    <row r="15" spans="1:23" ht="34.15" customHeight="1" thickBot="1" x14ac:dyDescent="0.2">
      <c r="A15" s="491"/>
      <c r="B15" s="482" t="s">
        <v>12</v>
      </c>
      <c r="C15" s="473" t="s">
        <v>76</v>
      </c>
      <c r="D15" s="478">
        <v>25</v>
      </c>
      <c r="E15" s="478">
        <v>26</v>
      </c>
      <c r="F15" s="478">
        <v>27</v>
      </c>
      <c r="G15" s="478">
        <v>28</v>
      </c>
      <c r="H15" s="478">
        <v>29</v>
      </c>
      <c r="I15" s="478">
        <v>30</v>
      </c>
      <c r="J15" s="478">
        <v>31</v>
      </c>
      <c r="K15" s="478">
        <v>32</v>
      </c>
      <c r="L15" s="478">
        <v>33</v>
      </c>
      <c r="M15" s="478">
        <v>34</v>
      </c>
      <c r="N15" s="478">
        <v>35</v>
      </c>
      <c r="O15" s="479">
        <v>36</v>
      </c>
      <c r="P15" s="753"/>
      <c r="Q15" s="492"/>
      <c r="R15" s="493"/>
      <c r="S15" s="493"/>
      <c r="T15" s="493"/>
      <c r="U15" s="492"/>
    </row>
    <row r="16" spans="1:23" ht="34.15" customHeight="1" x14ac:dyDescent="0.15">
      <c r="A16" s="491"/>
      <c r="B16" s="833">
        <v>3</v>
      </c>
      <c r="C16" s="516" t="s">
        <v>32</v>
      </c>
      <c r="D16" s="171">
        <f>'ขายรายเดือน 1'!D32</f>
        <v>10</v>
      </c>
      <c r="E16" s="171">
        <f>'ขายรายเดือน 1'!E32</f>
        <v>10</v>
      </c>
      <c r="F16" s="171">
        <f>'ขายรายเดือน 1'!F32</f>
        <v>10</v>
      </c>
      <c r="G16" s="171">
        <f>'ขายรายเดือน 1'!G32</f>
        <v>10</v>
      </c>
      <c r="H16" s="171">
        <f>'ขายรายเดือน 1'!H32</f>
        <v>10</v>
      </c>
      <c r="I16" s="171">
        <f>'ขายรายเดือน 1'!I32</f>
        <v>10</v>
      </c>
      <c r="J16" s="171">
        <f>'ขายรายเดือน 1'!J32</f>
        <v>10</v>
      </c>
      <c r="K16" s="171">
        <f>'ขายรายเดือน 1'!K32</f>
        <v>10</v>
      </c>
      <c r="L16" s="171">
        <f>'ขายรายเดือน 1'!L32</f>
        <v>10</v>
      </c>
      <c r="M16" s="171">
        <f>'ขายรายเดือน 1'!M32</f>
        <v>10</v>
      </c>
      <c r="N16" s="171">
        <f>'ขายรายเดือน 1'!N32</f>
        <v>10</v>
      </c>
      <c r="O16" s="172">
        <f>'ขายรายเดือน 1'!O32</f>
        <v>10</v>
      </c>
      <c r="P16" s="756"/>
      <c r="Q16" s="178">
        <f>'ขายรายเดือน 1'!Q32</f>
        <v>120</v>
      </c>
      <c r="R16" s="198" t="s">
        <v>32</v>
      </c>
      <c r="S16" s="178">
        <f>'ขายรายเดือน 1'!S32</f>
        <v>315000</v>
      </c>
      <c r="T16" s="483" t="s">
        <v>287</v>
      </c>
      <c r="U16" s="492"/>
    </row>
    <row r="17" spans="1:21" ht="34.15" customHeight="1" x14ac:dyDescent="0.15">
      <c r="A17" s="491"/>
      <c r="B17" s="863"/>
      <c r="C17" s="516" t="s">
        <v>9</v>
      </c>
      <c r="D17" s="173">
        <f>'ขายรายเดือน 1'!D33</f>
        <v>100000</v>
      </c>
      <c r="E17" s="173">
        <f>'ขายรายเดือน 1'!E33</f>
        <v>100000</v>
      </c>
      <c r="F17" s="173">
        <f>'ขายรายเดือน 1'!F33</f>
        <v>100000</v>
      </c>
      <c r="G17" s="173">
        <f>'ขายรายเดือน 1'!G33</f>
        <v>100000</v>
      </c>
      <c r="H17" s="173">
        <f>'ขายรายเดือน 1'!H33</f>
        <v>100000</v>
      </c>
      <c r="I17" s="173">
        <f>'ขายรายเดือน 1'!I33</f>
        <v>100000</v>
      </c>
      <c r="J17" s="173">
        <f>'ขายรายเดือน 1'!J33</f>
        <v>100000</v>
      </c>
      <c r="K17" s="173">
        <f>'ขายรายเดือน 1'!K33</f>
        <v>100000</v>
      </c>
      <c r="L17" s="173">
        <f>'ขายรายเดือน 1'!L33</f>
        <v>100000</v>
      </c>
      <c r="M17" s="173">
        <f>'ขายรายเดือน 1'!M33</f>
        <v>100000</v>
      </c>
      <c r="N17" s="173">
        <f>'ขายรายเดือน 1'!N33</f>
        <v>100000</v>
      </c>
      <c r="O17" s="174">
        <f>'ขายรายเดือน 1'!O33</f>
        <v>100000</v>
      </c>
      <c r="P17" s="756"/>
      <c r="Q17" s="183">
        <f>'ขายรายเดือน 1'!Q33</f>
        <v>1200000</v>
      </c>
      <c r="R17" s="199" t="s">
        <v>77</v>
      </c>
      <c r="S17" s="183">
        <f>'ขายรายเดือน 1'!S33</f>
        <v>315000</v>
      </c>
      <c r="T17" s="484" t="s">
        <v>288</v>
      </c>
      <c r="U17" s="492"/>
    </row>
    <row r="18" spans="1:21" ht="34.15" customHeight="1" x14ac:dyDescent="0.15">
      <c r="A18" s="491"/>
      <c r="B18" s="863"/>
      <c r="C18" s="516" t="s">
        <v>3</v>
      </c>
      <c r="D18" s="173">
        <f>'ขายรายเดือน 1'!D34</f>
        <v>250000</v>
      </c>
      <c r="E18" s="173">
        <f>'ขายรายเดือน 1'!E34</f>
        <v>250000</v>
      </c>
      <c r="F18" s="173">
        <f>'ขายรายเดือน 1'!F34</f>
        <v>250000</v>
      </c>
      <c r="G18" s="173">
        <f>'ขายรายเดือน 1'!G34</f>
        <v>250000</v>
      </c>
      <c r="H18" s="173">
        <f>'ขายรายเดือน 1'!H34</f>
        <v>250000</v>
      </c>
      <c r="I18" s="173">
        <f>'ขายรายเดือน 1'!I34</f>
        <v>250000</v>
      </c>
      <c r="J18" s="173">
        <f>'ขายรายเดือน 1'!J34</f>
        <v>250000</v>
      </c>
      <c r="K18" s="173">
        <f>'ขายรายเดือน 1'!K34</f>
        <v>250000</v>
      </c>
      <c r="L18" s="173">
        <f>'ขายรายเดือน 1'!L34</f>
        <v>250000</v>
      </c>
      <c r="M18" s="173">
        <f>'ขายรายเดือน 1'!M34</f>
        <v>250000</v>
      </c>
      <c r="N18" s="173">
        <f>'ขายรายเดือน 1'!N34</f>
        <v>250000</v>
      </c>
      <c r="O18" s="174">
        <f>'ขายรายเดือน 1'!O34</f>
        <v>250000</v>
      </c>
      <c r="P18" s="756"/>
      <c r="Q18" s="183">
        <f>'ขายรายเดือน 1'!Q34</f>
        <v>3000000</v>
      </c>
      <c r="R18" s="199" t="s">
        <v>78</v>
      </c>
      <c r="S18" s="183">
        <f>'ขายรายเดือน 1'!S34</f>
        <v>202500</v>
      </c>
      <c r="T18" s="484" t="s">
        <v>161</v>
      </c>
      <c r="U18" s="492"/>
    </row>
    <row r="19" spans="1:21" ht="34.15" customHeight="1" x14ac:dyDescent="0.15">
      <c r="A19" s="491"/>
      <c r="B19" s="863"/>
      <c r="C19" s="516" t="s">
        <v>80</v>
      </c>
      <c r="D19" s="190">
        <f>'ขายรายเดือน 1'!D35</f>
        <v>30000</v>
      </c>
      <c r="E19" s="190">
        <f>'ขายรายเดือน 1'!E35</f>
        <v>30000</v>
      </c>
      <c r="F19" s="190">
        <f>'ขายรายเดือน 1'!F35</f>
        <v>30000</v>
      </c>
      <c r="G19" s="190">
        <f>'ขายรายเดือน 1'!G35</f>
        <v>30000</v>
      </c>
      <c r="H19" s="190">
        <f>'ขายรายเดือน 1'!H35</f>
        <v>30000</v>
      </c>
      <c r="I19" s="190">
        <f>'ขายรายเดือน 1'!I35</f>
        <v>30000</v>
      </c>
      <c r="J19" s="190">
        <f>'ขายรายเดือน 1'!J35</f>
        <v>30000</v>
      </c>
      <c r="K19" s="190">
        <f>'ขายรายเดือน 1'!K35</f>
        <v>30000</v>
      </c>
      <c r="L19" s="190">
        <f>'ขายรายเดือน 1'!L35</f>
        <v>30000</v>
      </c>
      <c r="M19" s="190">
        <f>'ขายรายเดือน 1'!M35</f>
        <v>30000</v>
      </c>
      <c r="N19" s="190">
        <f>'ขายรายเดือน 1'!N35</f>
        <v>30000</v>
      </c>
      <c r="O19" s="191">
        <f>'ขายรายเดือน 1'!O35</f>
        <v>30000</v>
      </c>
      <c r="P19" s="757"/>
      <c r="Q19" s="194">
        <f>'ขายรายเดือน 1'!Q35</f>
        <v>360000</v>
      </c>
      <c r="R19" s="202" t="s">
        <v>80</v>
      </c>
      <c r="S19" s="184">
        <f>'ขายรายเดือน 1'!S35</f>
        <v>0</v>
      </c>
      <c r="T19" s="484" t="s">
        <v>286</v>
      </c>
      <c r="U19" s="492"/>
    </row>
    <row r="20" spans="1:21" ht="34.15" customHeight="1" thickBot="1" x14ac:dyDescent="0.2">
      <c r="A20" s="491"/>
      <c r="B20" s="835"/>
      <c r="C20" s="517" t="s">
        <v>79</v>
      </c>
      <c r="D20" s="192">
        <f>'ขายรายเดือน 1'!D36</f>
        <v>18750</v>
      </c>
      <c r="E20" s="192">
        <f>'ขายรายเดือน 1'!E36</f>
        <v>18750</v>
      </c>
      <c r="F20" s="192">
        <f>'ขายรายเดือน 1'!F36</f>
        <v>18750</v>
      </c>
      <c r="G20" s="192">
        <f>'ขายรายเดือน 1'!G36</f>
        <v>18750</v>
      </c>
      <c r="H20" s="192">
        <f>'ขายรายเดือน 1'!H36</f>
        <v>18750</v>
      </c>
      <c r="I20" s="192">
        <f>'ขายรายเดือน 1'!I36</f>
        <v>18750</v>
      </c>
      <c r="J20" s="192">
        <f>'ขายรายเดือน 1'!J36</f>
        <v>18750</v>
      </c>
      <c r="K20" s="192">
        <f>'ขายรายเดือน 1'!K36</f>
        <v>18750</v>
      </c>
      <c r="L20" s="192">
        <f>'ขายรายเดือน 1'!L36</f>
        <v>18750</v>
      </c>
      <c r="M20" s="192">
        <f>'ขายรายเดือน 1'!M36</f>
        <v>18750</v>
      </c>
      <c r="N20" s="192">
        <f>'ขายรายเดือน 1'!N36</f>
        <v>18750</v>
      </c>
      <c r="O20" s="193">
        <f>'ขายรายเดือน 1'!O36</f>
        <v>18750</v>
      </c>
      <c r="P20" s="757"/>
      <c r="Q20" s="195">
        <f>'ขายรายเดือน 1'!Q36</f>
        <v>225000</v>
      </c>
      <c r="R20" s="201" t="s">
        <v>79</v>
      </c>
      <c r="S20" s="187">
        <f>'ขายรายเดือน 1'!S36</f>
        <v>45000</v>
      </c>
      <c r="T20" s="485" t="s">
        <v>285</v>
      </c>
      <c r="U20" s="492"/>
    </row>
    <row r="21" spans="1:21" ht="12" customHeight="1" x14ac:dyDescent="0.15">
      <c r="A21" s="491"/>
      <c r="B21" s="492"/>
      <c r="C21" s="747"/>
      <c r="D21" s="753"/>
      <c r="E21" s="753"/>
      <c r="F21" s="753"/>
      <c r="G21" s="753"/>
      <c r="H21" s="753"/>
      <c r="I21" s="753"/>
      <c r="J21" s="753"/>
      <c r="K21" s="753"/>
      <c r="L21" s="753"/>
      <c r="M21" s="753"/>
      <c r="N21" s="753"/>
      <c r="O21" s="753"/>
      <c r="P21" s="753"/>
      <c r="Q21" s="753"/>
      <c r="R21" s="758"/>
      <c r="S21" s="753"/>
      <c r="T21" s="493"/>
      <c r="U21" s="492"/>
    </row>
    <row r="22" spans="1:21" ht="12" customHeight="1" thickBot="1" x14ac:dyDescent="0.2">
      <c r="A22" s="491"/>
      <c r="B22" s="492"/>
      <c r="C22" s="747"/>
      <c r="D22" s="753"/>
      <c r="E22" s="753"/>
      <c r="F22" s="753"/>
      <c r="G22" s="753"/>
      <c r="H22" s="753"/>
      <c r="I22" s="753"/>
      <c r="J22" s="753"/>
      <c r="K22" s="753"/>
      <c r="L22" s="753"/>
      <c r="M22" s="753"/>
      <c r="N22" s="753"/>
      <c r="O22" s="753"/>
      <c r="P22" s="753"/>
      <c r="Q22" s="753"/>
      <c r="R22" s="758"/>
      <c r="S22" s="753"/>
      <c r="T22" s="493"/>
      <c r="U22" s="492"/>
    </row>
    <row r="23" spans="1:21" ht="34.15" customHeight="1" thickBot="1" x14ac:dyDescent="0.2">
      <c r="A23" s="491"/>
      <c r="B23" s="482" t="s">
        <v>12</v>
      </c>
      <c r="C23" s="473" t="s">
        <v>76</v>
      </c>
      <c r="D23" s="478">
        <v>37</v>
      </c>
      <c r="E23" s="478">
        <v>38</v>
      </c>
      <c r="F23" s="478">
        <v>39</v>
      </c>
      <c r="G23" s="478">
        <v>40</v>
      </c>
      <c r="H23" s="478">
        <v>41</v>
      </c>
      <c r="I23" s="478">
        <v>42</v>
      </c>
      <c r="J23" s="478">
        <v>43</v>
      </c>
      <c r="K23" s="478">
        <v>44</v>
      </c>
      <c r="L23" s="478">
        <v>45</v>
      </c>
      <c r="M23" s="478">
        <v>46</v>
      </c>
      <c r="N23" s="478">
        <v>47</v>
      </c>
      <c r="O23" s="479">
        <v>48</v>
      </c>
      <c r="P23" s="492"/>
      <c r="Q23" s="492"/>
      <c r="R23" s="493"/>
      <c r="S23" s="492"/>
      <c r="T23" s="493"/>
      <c r="U23" s="492"/>
    </row>
    <row r="24" spans="1:21" ht="34.15" customHeight="1" x14ac:dyDescent="0.15">
      <c r="A24" s="491"/>
      <c r="B24" s="864">
        <v>4</v>
      </c>
      <c r="C24" s="516" t="s">
        <v>32</v>
      </c>
      <c r="D24" s="171">
        <f>'ขายรายเดือน 1'!D40</f>
        <v>10</v>
      </c>
      <c r="E24" s="171">
        <f>'ขายรายเดือน 1'!E40</f>
        <v>10</v>
      </c>
      <c r="F24" s="171">
        <f>'ขายรายเดือน 1'!F40</f>
        <v>10</v>
      </c>
      <c r="G24" s="171">
        <f>'ขายรายเดือน 1'!G40</f>
        <v>10</v>
      </c>
      <c r="H24" s="171">
        <f>'ขายรายเดือน 1'!H40</f>
        <v>10</v>
      </c>
      <c r="I24" s="171">
        <f>'ขายรายเดือน 1'!I40</f>
        <v>10</v>
      </c>
      <c r="J24" s="171">
        <f>'ขายรายเดือน 1'!J40</f>
        <v>10</v>
      </c>
      <c r="K24" s="171">
        <f>'ขายรายเดือน 1'!K40</f>
        <v>10</v>
      </c>
      <c r="L24" s="171">
        <f>'ขายรายเดือน 1'!L40</f>
        <v>10</v>
      </c>
      <c r="M24" s="171">
        <f>'ขายรายเดือน 1'!M40</f>
        <v>10</v>
      </c>
      <c r="N24" s="171">
        <f>'ขายรายเดือน 1'!N40</f>
        <v>10</v>
      </c>
      <c r="O24" s="172">
        <f>'ขายรายเดือน 1'!O40</f>
        <v>10</v>
      </c>
      <c r="P24" s="756"/>
      <c r="Q24" s="178">
        <f>'ขายรายเดือน 1'!Q40</f>
        <v>120</v>
      </c>
      <c r="R24" s="198" t="s">
        <v>32</v>
      </c>
      <c r="S24" s="178">
        <f>'ขายรายเดือน 1'!S40</f>
        <v>315000</v>
      </c>
      <c r="T24" s="483" t="s">
        <v>287</v>
      </c>
      <c r="U24" s="492"/>
    </row>
    <row r="25" spans="1:21" ht="34.15" customHeight="1" x14ac:dyDescent="0.15">
      <c r="A25" s="491"/>
      <c r="B25" s="864"/>
      <c r="C25" s="516" t="s">
        <v>9</v>
      </c>
      <c r="D25" s="173">
        <f>'ขายรายเดือน 1'!D41</f>
        <v>100000</v>
      </c>
      <c r="E25" s="173">
        <f>'ขายรายเดือน 1'!E41</f>
        <v>100000</v>
      </c>
      <c r="F25" s="173">
        <f>'ขายรายเดือน 1'!F41</f>
        <v>100000</v>
      </c>
      <c r="G25" s="173">
        <f>'ขายรายเดือน 1'!G41</f>
        <v>100000</v>
      </c>
      <c r="H25" s="173">
        <f>'ขายรายเดือน 1'!H41</f>
        <v>100000</v>
      </c>
      <c r="I25" s="173">
        <f>'ขายรายเดือน 1'!I41</f>
        <v>100000</v>
      </c>
      <c r="J25" s="173">
        <f>'ขายรายเดือน 1'!J41</f>
        <v>100000</v>
      </c>
      <c r="K25" s="173">
        <f>'ขายรายเดือน 1'!K41</f>
        <v>100000</v>
      </c>
      <c r="L25" s="173">
        <f>'ขายรายเดือน 1'!L41</f>
        <v>100000</v>
      </c>
      <c r="M25" s="173">
        <f>'ขายรายเดือน 1'!M41</f>
        <v>100000</v>
      </c>
      <c r="N25" s="173">
        <f>'ขายรายเดือน 1'!N41</f>
        <v>100000</v>
      </c>
      <c r="O25" s="174">
        <f>'ขายรายเดือน 1'!O41</f>
        <v>100000</v>
      </c>
      <c r="P25" s="756"/>
      <c r="Q25" s="183">
        <f>'ขายรายเดือน 1'!Q41</f>
        <v>1200000</v>
      </c>
      <c r="R25" s="199" t="s">
        <v>77</v>
      </c>
      <c r="S25" s="183">
        <f>'ขายรายเดือน 1'!S41</f>
        <v>315000</v>
      </c>
      <c r="T25" s="484" t="s">
        <v>288</v>
      </c>
      <c r="U25" s="492"/>
    </row>
    <row r="26" spans="1:21" ht="34.15" customHeight="1" x14ac:dyDescent="0.15">
      <c r="A26" s="491"/>
      <c r="B26" s="864"/>
      <c r="C26" s="516" t="s">
        <v>3</v>
      </c>
      <c r="D26" s="173">
        <f>'ขายรายเดือน 1'!D42</f>
        <v>250000</v>
      </c>
      <c r="E26" s="173">
        <f>'ขายรายเดือน 1'!E42</f>
        <v>250000</v>
      </c>
      <c r="F26" s="173">
        <f>'ขายรายเดือน 1'!F42</f>
        <v>250000</v>
      </c>
      <c r="G26" s="173">
        <f>'ขายรายเดือน 1'!G42</f>
        <v>250000</v>
      </c>
      <c r="H26" s="173">
        <f>'ขายรายเดือน 1'!H42</f>
        <v>250000</v>
      </c>
      <c r="I26" s="173">
        <f>'ขายรายเดือน 1'!I42</f>
        <v>250000</v>
      </c>
      <c r="J26" s="173">
        <f>'ขายรายเดือน 1'!J42</f>
        <v>250000</v>
      </c>
      <c r="K26" s="173">
        <f>'ขายรายเดือน 1'!K42</f>
        <v>250000</v>
      </c>
      <c r="L26" s="173">
        <f>'ขายรายเดือน 1'!L42</f>
        <v>250000</v>
      </c>
      <c r="M26" s="173">
        <f>'ขายรายเดือน 1'!M42</f>
        <v>250000</v>
      </c>
      <c r="N26" s="173">
        <f>'ขายรายเดือน 1'!N42</f>
        <v>250000</v>
      </c>
      <c r="O26" s="174">
        <f>'ขายรายเดือน 1'!O42</f>
        <v>250000</v>
      </c>
      <c r="P26" s="756"/>
      <c r="Q26" s="183">
        <f>'ขายรายเดือน 1'!Q42</f>
        <v>3000000</v>
      </c>
      <c r="R26" s="199" t="s">
        <v>78</v>
      </c>
      <c r="S26" s="183">
        <f>'ขายรายเดือน 1'!S42</f>
        <v>329062.5</v>
      </c>
      <c r="T26" s="484" t="s">
        <v>161</v>
      </c>
      <c r="U26" s="492"/>
    </row>
    <row r="27" spans="1:21" ht="34.15" customHeight="1" x14ac:dyDescent="0.15">
      <c r="A27" s="491"/>
      <c r="B27" s="864"/>
      <c r="C27" s="516" t="s">
        <v>81</v>
      </c>
      <c r="D27" s="190">
        <f>'ขายรายเดือน 1'!D43</f>
        <v>30000</v>
      </c>
      <c r="E27" s="190">
        <f>'ขายรายเดือน 1'!E43</f>
        <v>30000</v>
      </c>
      <c r="F27" s="190">
        <f>'ขายรายเดือน 1'!F43</f>
        <v>30000</v>
      </c>
      <c r="G27" s="190">
        <f>'ขายรายเดือน 1'!G43</f>
        <v>30000</v>
      </c>
      <c r="H27" s="190">
        <f>'ขายรายเดือน 1'!H43</f>
        <v>30000</v>
      </c>
      <c r="I27" s="190">
        <f>'ขายรายเดือน 1'!I43</f>
        <v>30000</v>
      </c>
      <c r="J27" s="190">
        <f>'ขายรายเดือน 1'!J43</f>
        <v>30000</v>
      </c>
      <c r="K27" s="190">
        <f>'ขายรายเดือน 1'!K43</f>
        <v>30000</v>
      </c>
      <c r="L27" s="190">
        <f>'ขายรายเดือน 1'!L43</f>
        <v>30000</v>
      </c>
      <c r="M27" s="190">
        <f>'ขายรายเดือน 1'!M43</f>
        <v>30000</v>
      </c>
      <c r="N27" s="190">
        <f>'ขายรายเดือน 1'!N43</f>
        <v>30000</v>
      </c>
      <c r="O27" s="191">
        <f>'ขายรายเดือน 1'!O43</f>
        <v>30000</v>
      </c>
      <c r="P27" s="757"/>
      <c r="Q27" s="194">
        <f>'ขายรายเดือน 1'!Q43</f>
        <v>360000</v>
      </c>
      <c r="R27" s="202" t="s">
        <v>81</v>
      </c>
      <c r="S27" s="184">
        <f>'ขายรายเดือน 1'!S43</f>
        <v>0</v>
      </c>
      <c r="T27" s="484" t="s">
        <v>286</v>
      </c>
      <c r="U27" s="492"/>
    </row>
    <row r="28" spans="1:21" ht="34.15" customHeight="1" thickBot="1" x14ac:dyDescent="0.2">
      <c r="A28" s="491"/>
      <c r="B28" s="864"/>
      <c r="C28" s="516" t="s">
        <v>80</v>
      </c>
      <c r="D28" s="190">
        <f>'ขายรายเดือน 1'!D44</f>
        <v>18750</v>
      </c>
      <c r="E28" s="190">
        <f>'ขายรายเดือน 1'!E44</f>
        <v>18750</v>
      </c>
      <c r="F28" s="190">
        <f>'ขายรายเดือน 1'!F44</f>
        <v>18750</v>
      </c>
      <c r="G28" s="190">
        <f>'ขายรายเดือน 1'!G44</f>
        <v>18750</v>
      </c>
      <c r="H28" s="190">
        <f>'ขายรายเดือน 1'!H44</f>
        <v>18750</v>
      </c>
      <c r="I28" s="190">
        <f>'ขายรายเดือน 1'!I44</f>
        <v>18750</v>
      </c>
      <c r="J28" s="190">
        <f>'ขายรายเดือน 1'!J44</f>
        <v>18750</v>
      </c>
      <c r="K28" s="190">
        <f>'ขายรายเดือน 1'!K44</f>
        <v>18750</v>
      </c>
      <c r="L28" s="190">
        <f>'ขายรายเดือน 1'!L44</f>
        <v>18750</v>
      </c>
      <c r="M28" s="190">
        <f>'ขายรายเดือน 1'!M44</f>
        <v>18750</v>
      </c>
      <c r="N28" s="190">
        <f>'ขายรายเดือน 1'!N44</f>
        <v>18750</v>
      </c>
      <c r="O28" s="191">
        <f>'ขายรายเดือน 1'!O44</f>
        <v>18750</v>
      </c>
      <c r="P28" s="757"/>
      <c r="Q28" s="194">
        <f>'ขายรายเดือน 1'!Q44</f>
        <v>225000</v>
      </c>
      <c r="R28" s="202" t="s">
        <v>80</v>
      </c>
      <c r="S28" s="187">
        <f>'ขายรายเดือน 1'!S44</f>
        <v>45000</v>
      </c>
      <c r="T28" s="485" t="s">
        <v>285</v>
      </c>
      <c r="U28" s="492"/>
    </row>
    <row r="29" spans="1:21" ht="34.15" customHeight="1" thickBot="1" x14ac:dyDescent="0.2">
      <c r="A29" s="491"/>
      <c r="B29" s="865"/>
      <c r="C29" s="517" t="s">
        <v>79</v>
      </c>
      <c r="D29" s="192">
        <f>'ขายรายเดือน 1'!D45</f>
        <v>9375</v>
      </c>
      <c r="E29" s="192">
        <f>'ขายรายเดือน 1'!E45</f>
        <v>9375</v>
      </c>
      <c r="F29" s="192">
        <f>'ขายรายเดือน 1'!F45</f>
        <v>9375</v>
      </c>
      <c r="G29" s="192">
        <f>'ขายรายเดือน 1'!G45</f>
        <v>9375</v>
      </c>
      <c r="H29" s="192">
        <f>'ขายรายเดือน 1'!H45</f>
        <v>9375</v>
      </c>
      <c r="I29" s="192">
        <f>'ขายรายเดือน 1'!I45</f>
        <v>9375</v>
      </c>
      <c r="J29" s="192">
        <f>'ขายรายเดือน 1'!J45</f>
        <v>9375</v>
      </c>
      <c r="K29" s="192">
        <f>'ขายรายเดือน 1'!K45</f>
        <v>9375</v>
      </c>
      <c r="L29" s="192">
        <f>'ขายรายเดือน 1'!L45</f>
        <v>9375</v>
      </c>
      <c r="M29" s="192">
        <f>'ขายรายเดือน 1'!M45</f>
        <v>9375</v>
      </c>
      <c r="N29" s="192">
        <f>'ขายรายเดือน 1'!N45</f>
        <v>9375</v>
      </c>
      <c r="O29" s="193">
        <f>'ขายรายเดือน 1'!O45</f>
        <v>9375</v>
      </c>
      <c r="P29" s="757"/>
      <c r="Q29" s="195">
        <f>'ขายรายเดือน 1'!Q45</f>
        <v>112500</v>
      </c>
      <c r="R29" s="201" t="s">
        <v>79</v>
      </c>
      <c r="S29" s="753"/>
      <c r="T29" s="493"/>
      <c r="U29" s="492"/>
    </row>
    <row r="30" spans="1:21" ht="12" customHeight="1" x14ac:dyDescent="0.15">
      <c r="A30" s="491"/>
      <c r="B30" s="492"/>
      <c r="C30" s="747"/>
      <c r="D30" s="753"/>
      <c r="E30" s="753"/>
      <c r="F30" s="753"/>
      <c r="G30" s="753"/>
      <c r="H30" s="753"/>
      <c r="I30" s="753"/>
      <c r="J30" s="753"/>
      <c r="K30" s="753"/>
      <c r="L30" s="753"/>
      <c r="M30" s="753"/>
      <c r="N30" s="753"/>
      <c r="O30" s="753"/>
      <c r="P30" s="753"/>
      <c r="Q30" s="753"/>
      <c r="R30" s="758"/>
      <c r="S30" s="753"/>
      <c r="T30" s="493"/>
      <c r="U30" s="492"/>
    </row>
    <row r="31" spans="1:21" ht="12" customHeight="1" thickBot="1" x14ac:dyDescent="0.2">
      <c r="A31" s="491"/>
      <c r="B31" s="492"/>
      <c r="C31" s="747"/>
      <c r="D31" s="753"/>
      <c r="E31" s="753"/>
      <c r="F31" s="753"/>
      <c r="G31" s="753"/>
      <c r="H31" s="753"/>
      <c r="I31" s="753"/>
      <c r="J31" s="753"/>
      <c r="K31" s="753"/>
      <c r="L31" s="753"/>
      <c r="M31" s="753"/>
      <c r="N31" s="753"/>
      <c r="O31" s="753"/>
      <c r="P31" s="753"/>
      <c r="Q31" s="753"/>
      <c r="R31" s="758"/>
      <c r="S31" s="753"/>
      <c r="T31" s="493"/>
      <c r="U31" s="492"/>
    </row>
    <row r="32" spans="1:21" ht="34.15" customHeight="1" thickBot="1" x14ac:dyDescent="0.2">
      <c r="A32" s="491"/>
      <c r="B32" s="482" t="s">
        <v>12</v>
      </c>
      <c r="C32" s="473" t="s">
        <v>76</v>
      </c>
      <c r="D32" s="478">
        <v>49</v>
      </c>
      <c r="E32" s="478">
        <v>50</v>
      </c>
      <c r="F32" s="478">
        <v>51</v>
      </c>
      <c r="G32" s="478">
        <v>52</v>
      </c>
      <c r="H32" s="478">
        <v>53</v>
      </c>
      <c r="I32" s="478">
        <v>54</v>
      </c>
      <c r="J32" s="478">
        <v>55</v>
      </c>
      <c r="K32" s="478">
        <v>56</v>
      </c>
      <c r="L32" s="478">
        <v>57</v>
      </c>
      <c r="M32" s="478">
        <v>58</v>
      </c>
      <c r="N32" s="478">
        <v>59</v>
      </c>
      <c r="O32" s="479">
        <v>60</v>
      </c>
      <c r="P32" s="753"/>
      <c r="Q32" s="492"/>
      <c r="R32" s="493"/>
      <c r="S32" s="492"/>
      <c r="T32" s="493"/>
      <c r="U32" s="492"/>
    </row>
    <row r="33" spans="1:25" ht="34.15" customHeight="1" x14ac:dyDescent="0.15">
      <c r="A33" s="491"/>
      <c r="B33" s="833">
        <v>5</v>
      </c>
      <c r="C33" s="516" t="s">
        <v>32</v>
      </c>
      <c r="D33" s="171">
        <f>'ขายรายเดือน 1'!D49</f>
        <v>10</v>
      </c>
      <c r="E33" s="171">
        <f>'ขายรายเดือน 1'!E49</f>
        <v>10</v>
      </c>
      <c r="F33" s="171">
        <f>'ขายรายเดือน 1'!F49</f>
        <v>10</v>
      </c>
      <c r="G33" s="171">
        <f>'ขายรายเดือน 1'!G49</f>
        <v>10</v>
      </c>
      <c r="H33" s="171">
        <f>'ขายรายเดือน 1'!H49</f>
        <v>10</v>
      </c>
      <c r="I33" s="171">
        <f>'ขายรายเดือน 1'!I49</f>
        <v>10</v>
      </c>
      <c r="J33" s="171">
        <f>'ขายรายเดือน 1'!J49</f>
        <v>10</v>
      </c>
      <c r="K33" s="171">
        <f>'ขายรายเดือน 1'!K49</f>
        <v>10</v>
      </c>
      <c r="L33" s="171">
        <f>'ขายรายเดือน 1'!L49</f>
        <v>10</v>
      </c>
      <c r="M33" s="171">
        <f>'ขายรายเดือน 1'!M49</f>
        <v>10</v>
      </c>
      <c r="N33" s="171">
        <f>'ขายรายเดือน 1'!N49</f>
        <v>10</v>
      </c>
      <c r="O33" s="172">
        <f>'ขายรายเดือน 1'!O49</f>
        <v>10</v>
      </c>
      <c r="P33" s="756"/>
      <c r="Q33" s="178">
        <f>'ขายรายเดือน 1'!Q49</f>
        <v>120</v>
      </c>
      <c r="R33" s="198" t="s">
        <v>32</v>
      </c>
      <c r="S33" s="178">
        <f>'ขายรายเดือน 1'!S49</f>
        <v>315000</v>
      </c>
      <c r="T33" s="483" t="s">
        <v>287</v>
      </c>
      <c r="U33" s="492"/>
    </row>
    <row r="34" spans="1:25" ht="34.15" customHeight="1" x14ac:dyDescent="0.15">
      <c r="A34" s="491"/>
      <c r="B34" s="863"/>
      <c r="C34" s="516" t="s">
        <v>9</v>
      </c>
      <c r="D34" s="173">
        <f>'ขายรายเดือน 1'!D50</f>
        <v>100000</v>
      </c>
      <c r="E34" s="173">
        <f>'ขายรายเดือน 1'!E50</f>
        <v>100000</v>
      </c>
      <c r="F34" s="173">
        <f>'ขายรายเดือน 1'!F50</f>
        <v>100000</v>
      </c>
      <c r="G34" s="173">
        <f>'ขายรายเดือน 1'!G50</f>
        <v>100000</v>
      </c>
      <c r="H34" s="173">
        <f>'ขายรายเดือน 1'!H50</f>
        <v>100000</v>
      </c>
      <c r="I34" s="173">
        <f>'ขายรายเดือน 1'!I50</f>
        <v>100000</v>
      </c>
      <c r="J34" s="173">
        <f>'ขายรายเดือน 1'!J50</f>
        <v>100000</v>
      </c>
      <c r="K34" s="173">
        <f>'ขายรายเดือน 1'!K50</f>
        <v>100000</v>
      </c>
      <c r="L34" s="173">
        <f>'ขายรายเดือน 1'!L50</f>
        <v>100000</v>
      </c>
      <c r="M34" s="173">
        <f>'ขายรายเดือน 1'!M50</f>
        <v>100000</v>
      </c>
      <c r="N34" s="173">
        <f>'ขายรายเดือน 1'!N50</f>
        <v>100000</v>
      </c>
      <c r="O34" s="174">
        <f>'ขายรายเดือน 1'!O50</f>
        <v>100000</v>
      </c>
      <c r="P34" s="756"/>
      <c r="Q34" s="183">
        <f>'ขายรายเดือน 1'!Q50</f>
        <v>1200000</v>
      </c>
      <c r="R34" s="199" t="s">
        <v>77</v>
      </c>
      <c r="S34" s="183">
        <f>'ขายรายเดือน 1'!S50</f>
        <v>315000</v>
      </c>
      <c r="T34" s="484" t="s">
        <v>288</v>
      </c>
      <c r="U34" s="492"/>
    </row>
    <row r="35" spans="1:25" ht="34.15" customHeight="1" x14ac:dyDescent="0.15">
      <c r="A35" s="491"/>
      <c r="B35" s="863"/>
      <c r="C35" s="516" t="s">
        <v>3</v>
      </c>
      <c r="D35" s="173">
        <f>'ขายรายเดือน 1'!D51</f>
        <v>250000</v>
      </c>
      <c r="E35" s="173">
        <f>'ขายรายเดือน 1'!E51</f>
        <v>250000</v>
      </c>
      <c r="F35" s="173">
        <f>'ขายรายเดือน 1'!F51</f>
        <v>250000</v>
      </c>
      <c r="G35" s="173">
        <f>'ขายรายเดือน 1'!G51</f>
        <v>250000</v>
      </c>
      <c r="H35" s="173">
        <f>'ขายรายเดือน 1'!H51</f>
        <v>250000</v>
      </c>
      <c r="I35" s="173">
        <f>'ขายรายเดือน 1'!I51</f>
        <v>250000</v>
      </c>
      <c r="J35" s="173">
        <f>'ขายรายเดือน 1'!J51</f>
        <v>250000</v>
      </c>
      <c r="K35" s="173">
        <f>'ขายรายเดือน 1'!K51</f>
        <v>250000</v>
      </c>
      <c r="L35" s="173">
        <f>'ขายรายเดือน 1'!L51</f>
        <v>250000</v>
      </c>
      <c r="M35" s="173">
        <f>'ขายรายเดือน 1'!M51</f>
        <v>250000</v>
      </c>
      <c r="N35" s="173">
        <f>'ขายรายเดือน 1'!N51</f>
        <v>250000</v>
      </c>
      <c r="O35" s="174">
        <f>'ขายรายเดือน 1'!O51</f>
        <v>250000</v>
      </c>
      <c r="P35" s="756"/>
      <c r="Q35" s="183">
        <f>'ขายรายเดือน 1'!Q51</f>
        <v>3000000</v>
      </c>
      <c r="R35" s="199" t="s">
        <v>78</v>
      </c>
      <c r="S35" s="183">
        <f>'ขายรายเดือน 1'!S51</f>
        <v>392343.75</v>
      </c>
      <c r="T35" s="484" t="s">
        <v>161</v>
      </c>
      <c r="U35" s="492"/>
    </row>
    <row r="36" spans="1:25" ht="34.15" customHeight="1" x14ac:dyDescent="0.15">
      <c r="A36" s="491"/>
      <c r="B36" s="863"/>
      <c r="C36" s="516" t="s">
        <v>82</v>
      </c>
      <c r="D36" s="190">
        <f>'ขายรายเดือน 1'!D52</f>
        <v>30000</v>
      </c>
      <c r="E36" s="190">
        <f>'ขายรายเดือน 1'!E52</f>
        <v>30000</v>
      </c>
      <c r="F36" s="190">
        <f>'ขายรายเดือน 1'!F52</f>
        <v>30000</v>
      </c>
      <c r="G36" s="190">
        <f>'ขายรายเดือน 1'!G52</f>
        <v>30000</v>
      </c>
      <c r="H36" s="190">
        <f>'ขายรายเดือน 1'!H52</f>
        <v>30000</v>
      </c>
      <c r="I36" s="190">
        <f>'ขายรายเดือน 1'!I52</f>
        <v>30000</v>
      </c>
      <c r="J36" s="190">
        <f>'ขายรายเดือน 1'!J52</f>
        <v>30000</v>
      </c>
      <c r="K36" s="190">
        <f>'ขายรายเดือน 1'!K52</f>
        <v>30000</v>
      </c>
      <c r="L36" s="190">
        <f>'ขายรายเดือน 1'!L52</f>
        <v>30000</v>
      </c>
      <c r="M36" s="190">
        <f>'ขายรายเดือน 1'!M52</f>
        <v>30000</v>
      </c>
      <c r="N36" s="190">
        <f>'ขายรายเดือน 1'!N52</f>
        <v>30000</v>
      </c>
      <c r="O36" s="191">
        <f>'ขายรายเดือน 1'!O52</f>
        <v>30000</v>
      </c>
      <c r="P36" s="757"/>
      <c r="Q36" s="194">
        <f>'ขายรายเดือน 1'!Q52</f>
        <v>360000</v>
      </c>
      <c r="R36" s="202" t="s">
        <v>82</v>
      </c>
      <c r="S36" s="184">
        <f>'ขายรายเดือน 1'!S52</f>
        <v>0</v>
      </c>
      <c r="T36" s="484" t="s">
        <v>286</v>
      </c>
      <c r="U36" s="492"/>
    </row>
    <row r="37" spans="1:25" ht="34.15" customHeight="1" thickBot="1" x14ac:dyDescent="0.2">
      <c r="A37" s="491"/>
      <c r="B37" s="863"/>
      <c r="C37" s="516" t="s">
        <v>81</v>
      </c>
      <c r="D37" s="190">
        <f>'ขายรายเดือน 1'!D53</f>
        <v>18750</v>
      </c>
      <c r="E37" s="190">
        <f>'ขายรายเดือน 1'!E53</f>
        <v>18750</v>
      </c>
      <c r="F37" s="190">
        <f>'ขายรายเดือน 1'!F53</f>
        <v>18750</v>
      </c>
      <c r="G37" s="190">
        <f>'ขายรายเดือน 1'!G53</f>
        <v>18750</v>
      </c>
      <c r="H37" s="190">
        <f>'ขายรายเดือน 1'!H53</f>
        <v>18750</v>
      </c>
      <c r="I37" s="190">
        <f>'ขายรายเดือน 1'!I53</f>
        <v>18750</v>
      </c>
      <c r="J37" s="190">
        <f>'ขายรายเดือน 1'!J53</f>
        <v>18750</v>
      </c>
      <c r="K37" s="190">
        <f>'ขายรายเดือน 1'!K53</f>
        <v>18750</v>
      </c>
      <c r="L37" s="190">
        <f>'ขายรายเดือน 1'!L53</f>
        <v>18750</v>
      </c>
      <c r="M37" s="190">
        <f>'ขายรายเดือน 1'!M53</f>
        <v>18750</v>
      </c>
      <c r="N37" s="190">
        <f>'ขายรายเดือน 1'!N53</f>
        <v>18750</v>
      </c>
      <c r="O37" s="191">
        <f>'ขายรายเดือน 1'!O53</f>
        <v>18750</v>
      </c>
      <c r="P37" s="757"/>
      <c r="Q37" s="194">
        <f>'ขายรายเดือน 1'!Q53</f>
        <v>225000</v>
      </c>
      <c r="R37" s="202" t="s">
        <v>81</v>
      </c>
      <c r="S37" s="187">
        <f>'ขายรายเดือน 1'!S53</f>
        <v>45000</v>
      </c>
      <c r="T37" s="485" t="s">
        <v>285</v>
      </c>
      <c r="U37" s="492"/>
    </row>
    <row r="38" spans="1:25" ht="34.15" customHeight="1" thickBot="1" x14ac:dyDescent="0.2">
      <c r="A38" s="491"/>
      <c r="B38" s="835"/>
      <c r="C38" s="517" t="s">
        <v>83</v>
      </c>
      <c r="D38" s="192">
        <f>'ขายรายเดือน 1'!D54</f>
        <v>18750</v>
      </c>
      <c r="E38" s="192">
        <f>'ขายรายเดือน 1'!E54</f>
        <v>18750</v>
      </c>
      <c r="F38" s="192">
        <f>'ขายรายเดือน 1'!F54</f>
        <v>18750</v>
      </c>
      <c r="G38" s="192">
        <f>'ขายรายเดือน 1'!G54</f>
        <v>18750</v>
      </c>
      <c r="H38" s="192">
        <f>'ขายรายเดือน 1'!H54</f>
        <v>18750</v>
      </c>
      <c r="I38" s="192">
        <f>'ขายรายเดือน 1'!I54</f>
        <v>18750</v>
      </c>
      <c r="J38" s="192">
        <f>'ขายรายเดือน 1'!J54</f>
        <v>18750</v>
      </c>
      <c r="K38" s="192">
        <f>'ขายรายเดือน 1'!K54</f>
        <v>18750</v>
      </c>
      <c r="L38" s="192">
        <f>'ขายรายเดือน 1'!L54</f>
        <v>18750</v>
      </c>
      <c r="M38" s="192">
        <f>'ขายรายเดือน 1'!M54</f>
        <v>18750</v>
      </c>
      <c r="N38" s="192">
        <f>'ขายรายเดือน 1'!N54</f>
        <v>18750</v>
      </c>
      <c r="O38" s="193">
        <f>'ขายรายเดือน 1'!O54</f>
        <v>18750</v>
      </c>
      <c r="P38" s="757"/>
      <c r="Q38" s="195">
        <f>'ขายรายเดือน 1'!Q54</f>
        <v>225000</v>
      </c>
      <c r="R38" s="201" t="s">
        <v>83</v>
      </c>
      <c r="S38" s="753"/>
      <c r="T38" s="493"/>
      <c r="U38" s="492"/>
    </row>
    <row r="39" spans="1:25" x14ac:dyDescent="0.15">
      <c r="A39" s="491"/>
      <c r="B39" s="492"/>
      <c r="C39" s="492"/>
      <c r="D39" s="492"/>
      <c r="E39" s="492"/>
      <c r="F39" s="492"/>
      <c r="G39" s="492"/>
      <c r="H39" s="492"/>
      <c r="I39" s="492"/>
      <c r="J39" s="492"/>
      <c r="K39" s="492"/>
      <c r="L39" s="492"/>
      <c r="M39" s="492"/>
      <c r="N39" s="492"/>
      <c r="O39" s="492"/>
      <c r="P39" s="492"/>
      <c r="Q39" s="492"/>
      <c r="R39" s="493"/>
      <c r="S39" s="492"/>
      <c r="T39" s="493"/>
      <c r="U39" s="492"/>
    </row>
    <row r="40" spans="1:25" x14ac:dyDescent="0.15">
      <c r="A40" s="491"/>
      <c r="B40" s="492"/>
      <c r="C40" s="492"/>
      <c r="D40" s="492"/>
      <c r="E40" s="492"/>
      <c r="F40" s="492"/>
      <c r="G40" s="492"/>
      <c r="H40" s="492"/>
      <c r="I40" s="492"/>
      <c r="J40" s="492"/>
      <c r="K40" s="492"/>
      <c r="L40" s="492"/>
      <c r="M40" s="492"/>
      <c r="N40" s="492"/>
      <c r="O40" s="492"/>
      <c r="P40" s="492"/>
      <c r="Q40" s="492"/>
      <c r="R40" s="493"/>
      <c r="S40" s="492"/>
      <c r="T40" s="493"/>
      <c r="U40" s="492"/>
    </row>
    <row r="41" spans="1:25" x14ac:dyDescent="0.15">
      <c r="A41" s="491"/>
      <c r="B41" s="492"/>
      <c r="C41" s="492"/>
      <c r="D41" s="492"/>
      <c r="E41" s="492"/>
      <c r="F41" s="492"/>
      <c r="G41" s="492"/>
      <c r="H41" s="492"/>
      <c r="I41" s="492"/>
      <c r="J41" s="492"/>
      <c r="K41" s="492"/>
      <c r="L41" s="492"/>
      <c r="M41" s="492"/>
      <c r="N41" s="492"/>
      <c r="O41" s="492"/>
      <c r="P41" s="492"/>
      <c r="Q41" s="492"/>
      <c r="R41" s="493"/>
      <c r="S41" s="492"/>
      <c r="T41" s="493"/>
      <c r="U41" s="492"/>
    </row>
    <row r="42" spans="1:25" x14ac:dyDescent="0.15">
      <c r="B42" s="170"/>
      <c r="U42" s="170"/>
    </row>
    <row r="43" spans="1:25" x14ac:dyDescent="0.15">
      <c r="B43" s="170"/>
      <c r="U43" s="170"/>
    </row>
    <row r="44" spans="1:25" x14ac:dyDescent="0.15">
      <c r="B44" s="170"/>
      <c r="U44" s="170"/>
    </row>
    <row r="47" spans="1:25" s="170" customFormat="1" x14ac:dyDescent="0.15">
      <c r="B47" s="167"/>
      <c r="C47" s="188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89"/>
      <c r="S47" s="167"/>
      <c r="T47" s="167"/>
      <c r="U47" s="167"/>
      <c r="V47" s="167"/>
      <c r="X47" s="167"/>
      <c r="Y47" s="167"/>
    </row>
    <row r="48" spans="1:25" s="170" customFormat="1" x14ac:dyDescent="0.15">
      <c r="B48" s="167"/>
      <c r="C48" s="188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89"/>
      <c r="S48" s="167"/>
      <c r="T48" s="167"/>
      <c r="U48" s="167"/>
      <c r="V48" s="167"/>
      <c r="Y48" s="167"/>
    </row>
    <row r="49" spans="2:22" s="170" customFormat="1" x14ac:dyDescent="0.15">
      <c r="B49" s="167"/>
      <c r="C49" s="188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89"/>
      <c r="S49" s="167"/>
      <c r="T49" s="167"/>
      <c r="U49" s="167"/>
      <c r="V49" s="167"/>
    </row>
    <row r="50" spans="2:22" s="170" customFormat="1" x14ac:dyDescent="0.15">
      <c r="B50" s="167"/>
      <c r="C50" s="188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89"/>
      <c r="S50" s="167"/>
      <c r="T50" s="167"/>
      <c r="U50" s="167"/>
      <c r="V50" s="167"/>
    </row>
    <row r="51" spans="2:22" s="170" customFormat="1" x14ac:dyDescent="0.15">
      <c r="B51" s="167"/>
      <c r="C51" s="188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89"/>
      <c r="S51" s="167"/>
      <c r="T51" s="167"/>
      <c r="U51" s="167"/>
      <c r="V51" s="167"/>
    </row>
    <row r="52" spans="2:22" s="170" customFormat="1" x14ac:dyDescent="0.15">
      <c r="B52" s="167"/>
      <c r="C52" s="188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89"/>
      <c r="S52" s="167"/>
      <c r="T52" s="167"/>
      <c r="U52" s="167"/>
      <c r="V52" s="167"/>
    </row>
    <row r="53" spans="2:22" s="170" customFormat="1" x14ac:dyDescent="0.15">
      <c r="B53" s="167"/>
      <c r="C53" s="188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89"/>
      <c r="S53" s="167"/>
      <c r="T53" s="167"/>
      <c r="U53" s="167"/>
      <c r="V53" s="167"/>
    </row>
    <row r="54" spans="2:22" s="170" customFormat="1" x14ac:dyDescent="0.15">
      <c r="B54" s="167"/>
      <c r="C54" s="188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89"/>
      <c r="S54" s="167"/>
      <c r="T54" s="167"/>
      <c r="U54" s="167"/>
      <c r="V54" s="167"/>
    </row>
    <row r="55" spans="2:22" s="170" customFormat="1" x14ac:dyDescent="0.15">
      <c r="B55" s="167"/>
      <c r="C55" s="188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89"/>
      <c r="S55" s="167"/>
      <c r="T55" s="167"/>
      <c r="U55" s="167"/>
      <c r="V55" s="167"/>
    </row>
    <row r="56" spans="2:22" s="170" customFormat="1" x14ac:dyDescent="0.15">
      <c r="B56" s="167"/>
      <c r="C56" s="188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89"/>
      <c r="S56" s="167"/>
      <c r="T56" s="167"/>
      <c r="U56" s="167"/>
      <c r="V56" s="167"/>
    </row>
    <row r="57" spans="2:22" s="170" customFormat="1" x14ac:dyDescent="0.15">
      <c r="B57" s="167"/>
      <c r="C57" s="188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89"/>
      <c r="S57" s="167"/>
      <c r="T57" s="167"/>
      <c r="U57" s="167"/>
      <c r="V57" s="167"/>
    </row>
    <row r="58" spans="2:22" s="170" customFormat="1" x14ac:dyDescent="0.15">
      <c r="B58" s="167"/>
      <c r="C58" s="188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89"/>
      <c r="S58" s="167"/>
      <c r="T58" s="167"/>
      <c r="U58" s="167"/>
      <c r="V58" s="167"/>
    </row>
    <row r="59" spans="2:22" s="170" customFormat="1" x14ac:dyDescent="0.15">
      <c r="B59" s="167"/>
      <c r="C59" s="188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89"/>
      <c r="S59" s="167"/>
      <c r="T59" s="167"/>
      <c r="U59" s="167"/>
      <c r="V59" s="167"/>
    </row>
    <row r="60" spans="2:22" s="170" customFormat="1" x14ac:dyDescent="0.15">
      <c r="B60" s="167"/>
      <c r="C60" s="188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89"/>
      <c r="S60" s="167"/>
      <c r="T60" s="167"/>
      <c r="U60" s="167"/>
      <c r="V60" s="167"/>
    </row>
    <row r="61" spans="2:22" s="170" customFormat="1" x14ac:dyDescent="0.15">
      <c r="B61" s="167"/>
      <c r="C61" s="188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89"/>
      <c r="S61" s="167"/>
      <c r="T61" s="167"/>
      <c r="U61" s="167"/>
      <c r="V61" s="167"/>
    </row>
    <row r="62" spans="2:22" s="170" customFormat="1" x14ac:dyDescent="0.15">
      <c r="B62" s="167"/>
      <c r="C62" s="188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89"/>
      <c r="S62" s="167"/>
      <c r="T62" s="167"/>
      <c r="U62" s="167"/>
      <c r="V62" s="167"/>
    </row>
    <row r="63" spans="2:22" s="170" customFormat="1" x14ac:dyDescent="0.15">
      <c r="B63" s="167"/>
      <c r="C63" s="188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89"/>
      <c r="S63" s="167"/>
      <c r="T63" s="167"/>
      <c r="U63" s="167"/>
      <c r="V63" s="167"/>
    </row>
    <row r="64" spans="2:22" s="170" customFormat="1" x14ac:dyDescent="0.15">
      <c r="B64" s="167"/>
      <c r="C64" s="188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89"/>
      <c r="S64" s="167"/>
      <c r="T64" s="167"/>
      <c r="U64" s="167"/>
      <c r="V64" s="167"/>
    </row>
    <row r="65" spans="2:22" s="170" customFormat="1" x14ac:dyDescent="0.15">
      <c r="B65" s="167"/>
      <c r="C65" s="188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89"/>
      <c r="S65" s="167"/>
      <c r="T65" s="167"/>
      <c r="U65" s="167"/>
      <c r="V65" s="167"/>
    </row>
    <row r="66" spans="2:22" s="170" customFormat="1" x14ac:dyDescent="0.15">
      <c r="B66" s="167"/>
      <c r="C66" s="188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89"/>
      <c r="S66" s="167"/>
      <c r="T66" s="167"/>
      <c r="U66" s="167"/>
      <c r="V66" s="167"/>
    </row>
    <row r="67" spans="2:22" s="170" customFormat="1" x14ac:dyDescent="0.15">
      <c r="B67" s="167"/>
      <c r="C67" s="188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89"/>
      <c r="S67" s="167"/>
      <c r="T67" s="167"/>
      <c r="U67" s="167"/>
      <c r="V67" s="167"/>
    </row>
    <row r="68" spans="2:22" s="170" customFormat="1" x14ac:dyDescent="0.15">
      <c r="B68" s="167"/>
      <c r="C68" s="188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89"/>
      <c r="S68" s="167"/>
      <c r="T68" s="167"/>
      <c r="U68" s="167"/>
      <c r="V68" s="167"/>
    </row>
    <row r="69" spans="2:22" s="170" customFormat="1" x14ac:dyDescent="0.15">
      <c r="B69" s="167"/>
      <c r="C69" s="188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89"/>
      <c r="S69" s="167"/>
      <c r="T69" s="167"/>
      <c r="U69" s="167"/>
      <c r="V69" s="167"/>
    </row>
    <row r="70" spans="2:22" s="170" customFormat="1" x14ac:dyDescent="0.15">
      <c r="B70" s="167"/>
      <c r="C70" s="188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89"/>
      <c r="S70" s="167"/>
      <c r="T70" s="167"/>
      <c r="U70" s="167"/>
      <c r="V70" s="167"/>
    </row>
    <row r="71" spans="2:22" s="170" customFormat="1" x14ac:dyDescent="0.15">
      <c r="B71" s="167"/>
      <c r="C71" s="188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89"/>
      <c r="S71" s="167"/>
      <c r="T71" s="167"/>
      <c r="U71" s="167"/>
      <c r="V71" s="167"/>
    </row>
    <row r="72" spans="2:22" s="170" customFormat="1" x14ac:dyDescent="0.15">
      <c r="B72" s="167"/>
      <c r="C72" s="188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89"/>
      <c r="S72" s="167"/>
      <c r="T72" s="167"/>
      <c r="U72" s="167"/>
      <c r="V72" s="167"/>
    </row>
    <row r="73" spans="2:22" s="170" customFormat="1" x14ac:dyDescent="0.15">
      <c r="B73" s="167"/>
      <c r="C73" s="188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89"/>
      <c r="S73" s="167"/>
      <c r="T73" s="167"/>
      <c r="U73" s="167"/>
      <c r="V73" s="167"/>
    </row>
    <row r="74" spans="2:22" s="170" customFormat="1" x14ac:dyDescent="0.15">
      <c r="B74" s="167"/>
      <c r="C74" s="188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89"/>
      <c r="S74" s="167"/>
      <c r="T74" s="167"/>
      <c r="U74" s="167"/>
      <c r="V74" s="167"/>
    </row>
    <row r="75" spans="2:22" s="170" customFormat="1" x14ac:dyDescent="0.15">
      <c r="B75" s="167"/>
      <c r="C75" s="188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89"/>
      <c r="S75" s="167"/>
      <c r="T75" s="167"/>
      <c r="U75" s="167"/>
      <c r="V75" s="167"/>
    </row>
    <row r="76" spans="2:22" s="170" customFormat="1" x14ac:dyDescent="0.15">
      <c r="B76" s="167"/>
      <c r="C76" s="188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89"/>
      <c r="S76" s="167"/>
      <c r="T76" s="167"/>
      <c r="U76" s="167"/>
      <c r="V76" s="167"/>
    </row>
    <row r="77" spans="2:22" s="170" customFormat="1" x14ac:dyDescent="0.15">
      <c r="B77" s="167"/>
      <c r="C77" s="188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89"/>
      <c r="S77" s="167"/>
      <c r="T77" s="167"/>
      <c r="U77" s="167"/>
      <c r="V77" s="167"/>
    </row>
    <row r="78" spans="2:22" s="170" customFormat="1" x14ac:dyDescent="0.15">
      <c r="B78" s="167"/>
      <c r="C78" s="188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89"/>
      <c r="S78" s="167"/>
      <c r="T78" s="167"/>
      <c r="U78" s="167"/>
      <c r="V78" s="167"/>
    </row>
    <row r="79" spans="2:22" s="170" customFormat="1" x14ac:dyDescent="0.15">
      <c r="B79" s="167"/>
      <c r="C79" s="188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89"/>
      <c r="S79" s="167"/>
      <c r="T79" s="167"/>
      <c r="U79" s="167"/>
      <c r="V79" s="167"/>
    </row>
    <row r="80" spans="2:22" s="170" customFormat="1" x14ac:dyDescent="0.15">
      <c r="B80" s="167"/>
      <c r="C80" s="188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89"/>
      <c r="S80" s="167"/>
      <c r="T80" s="167"/>
      <c r="U80" s="167"/>
      <c r="V80" s="167"/>
    </row>
    <row r="81" spans="2:25" s="170" customFormat="1" x14ac:dyDescent="0.15">
      <c r="B81" s="167"/>
      <c r="C81" s="188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89"/>
      <c r="S81" s="167"/>
      <c r="T81" s="167"/>
      <c r="U81" s="167"/>
      <c r="V81" s="167"/>
    </row>
    <row r="82" spans="2:25" s="170" customFormat="1" x14ac:dyDescent="0.15">
      <c r="B82" s="167"/>
      <c r="C82" s="188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89"/>
      <c r="S82" s="167"/>
      <c r="T82" s="167"/>
      <c r="U82" s="167"/>
      <c r="V82" s="167"/>
    </row>
    <row r="83" spans="2:25" x14ac:dyDescent="0.15">
      <c r="X83" s="170"/>
      <c r="Y83" s="170"/>
    </row>
    <row r="84" spans="2:25" x14ac:dyDescent="0.15">
      <c r="Y84" s="170"/>
    </row>
    <row r="89" spans="2:25" s="170" customFormat="1" x14ac:dyDescent="0.15">
      <c r="B89" s="167"/>
      <c r="C89" s="188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89"/>
      <c r="S89" s="167"/>
      <c r="T89" s="167"/>
      <c r="U89" s="167"/>
      <c r="V89" s="167"/>
      <c r="X89" s="167"/>
      <c r="Y89" s="167"/>
    </row>
    <row r="90" spans="2:25" s="170" customFormat="1" x14ac:dyDescent="0.15">
      <c r="B90" s="167"/>
      <c r="C90" s="188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89"/>
      <c r="S90" s="167"/>
      <c r="T90" s="167"/>
      <c r="U90" s="167"/>
      <c r="V90" s="167"/>
      <c r="Y90" s="167"/>
    </row>
    <row r="91" spans="2:25" s="170" customFormat="1" x14ac:dyDescent="0.15">
      <c r="B91" s="167"/>
      <c r="C91" s="188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89"/>
      <c r="S91" s="167"/>
      <c r="T91" s="167"/>
      <c r="U91" s="167"/>
      <c r="V91" s="167"/>
    </row>
    <row r="92" spans="2:25" s="170" customFormat="1" x14ac:dyDescent="0.15">
      <c r="B92" s="167"/>
      <c r="C92" s="188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89"/>
      <c r="S92" s="167"/>
      <c r="T92" s="167"/>
      <c r="U92" s="167"/>
      <c r="V92" s="167"/>
    </row>
    <row r="93" spans="2:25" s="170" customFormat="1" x14ac:dyDescent="0.15">
      <c r="B93" s="167"/>
      <c r="C93" s="188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89"/>
      <c r="S93" s="167"/>
      <c r="T93" s="167"/>
      <c r="U93" s="167"/>
      <c r="V93" s="167"/>
    </row>
    <row r="94" spans="2:25" s="170" customFormat="1" x14ac:dyDescent="0.15">
      <c r="B94" s="167"/>
      <c r="C94" s="188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89"/>
      <c r="S94" s="167"/>
      <c r="T94" s="167"/>
      <c r="U94" s="167"/>
      <c r="V94" s="167"/>
    </row>
    <row r="95" spans="2:25" s="170" customFormat="1" x14ac:dyDescent="0.15">
      <c r="B95" s="167"/>
      <c r="C95" s="188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89"/>
      <c r="S95" s="167"/>
      <c r="T95" s="167"/>
      <c r="U95" s="167"/>
      <c r="V95" s="167"/>
    </row>
    <row r="96" spans="2:25" s="170" customFormat="1" x14ac:dyDescent="0.15">
      <c r="B96" s="167"/>
      <c r="C96" s="188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89"/>
      <c r="S96" s="167"/>
      <c r="T96" s="167"/>
      <c r="U96" s="167"/>
      <c r="V96" s="167"/>
    </row>
    <row r="97" spans="2:22" s="170" customFormat="1" x14ac:dyDescent="0.15">
      <c r="B97" s="167"/>
      <c r="C97" s="188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89"/>
      <c r="S97" s="167"/>
      <c r="T97" s="167"/>
      <c r="U97" s="167"/>
      <c r="V97" s="167"/>
    </row>
    <row r="98" spans="2:22" s="170" customFormat="1" x14ac:dyDescent="0.15">
      <c r="B98" s="167"/>
      <c r="C98" s="188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89"/>
      <c r="S98" s="167"/>
      <c r="T98" s="167"/>
      <c r="U98" s="167"/>
      <c r="V98" s="167"/>
    </row>
    <row r="99" spans="2:22" s="170" customFormat="1" x14ac:dyDescent="0.15">
      <c r="B99" s="167"/>
      <c r="C99" s="188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89"/>
      <c r="S99" s="167"/>
      <c r="T99" s="167"/>
      <c r="U99" s="167"/>
      <c r="V99" s="167"/>
    </row>
    <row r="100" spans="2:22" s="170" customFormat="1" x14ac:dyDescent="0.15">
      <c r="B100" s="167"/>
      <c r="C100" s="188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89"/>
      <c r="S100" s="167"/>
      <c r="T100" s="167"/>
      <c r="U100" s="167"/>
      <c r="V100" s="167"/>
    </row>
    <row r="101" spans="2:22" s="170" customFormat="1" x14ac:dyDescent="0.15">
      <c r="B101" s="167"/>
      <c r="C101" s="188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89"/>
      <c r="S101" s="167"/>
      <c r="T101" s="167"/>
      <c r="U101" s="167"/>
      <c r="V101" s="167"/>
    </row>
    <row r="102" spans="2:22" s="170" customFormat="1" x14ac:dyDescent="0.15">
      <c r="B102" s="167"/>
      <c r="C102" s="188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89"/>
      <c r="S102" s="167"/>
      <c r="T102" s="167"/>
      <c r="U102" s="167"/>
      <c r="V102" s="167"/>
    </row>
    <row r="103" spans="2:22" s="170" customFormat="1" x14ac:dyDescent="0.15">
      <c r="B103" s="167"/>
      <c r="C103" s="188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89"/>
      <c r="S103" s="167"/>
      <c r="T103" s="167"/>
      <c r="U103" s="167"/>
      <c r="V103" s="167"/>
    </row>
    <row r="104" spans="2:22" s="170" customFormat="1" x14ac:dyDescent="0.15">
      <c r="B104" s="167"/>
      <c r="C104" s="188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89"/>
      <c r="S104" s="167"/>
      <c r="T104" s="167"/>
      <c r="U104" s="167"/>
      <c r="V104" s="167"/>
    </row>
    <row r="105" spans="2:22" s="170" customFormat="1" x14ac:dyDescent="0.15">
      <c r="B105" s="167"/>
      <c r="C105" s="188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89"/>
      <c r="S105" s="167"/>
      <c r="T105" s="167"/>
      <c r="U105" s="167"/>
      <c r="V105" s="167"/>
    </row>
    <row r="106" spans="2:22" s="170" customFormat="1" x14ac:dyDescent="0.15">
      <c r="B106" s="167"/>
      <c r="C106" s="188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89"/>
      <c r="S106" s="167"/>
      <c r="T106" s="167"/>
      <c r="U106" s="167"/>
      <c r="V106" s="167"/>
    </row>
    <row r="107" spans="2:22" s="170" customFormat="1" x14ac:dyDescent="0.15">
      <c r="B107" s="167"/>
      <c r="C107" s="188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89"/>
      <c r="S107" s="167"/>
      <c r="T107" s="167"/>
      <c r="U107" s="167"/>
      <c r="V107" s="167"/>
    </row>
    <row r="108" spans="2:22" s="170" customFormat="1" x14ac:dyDescent="0.15">
      <c r="B108" s="167"/>
      <c r="C108" s="188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89"/>
      <c r="S108" s="167"/>
      <c r="T108" s="167"/>
      <c r="U108" s="167"/>
      <c r="V108" s="167"/>
    </row>
    <row r="109" spans="2:22" s="170" customFormat="1" x14ac:dyDescent="0.15">
      <c r="B109" s="167"/>
      <c r="C109" s="188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89"/>
      <c r="S109" s="167"/>
      <c r="T109" s="167"/>
      <c r="U109" s="167"/>
      <c r="V109" s="167"/>
    </row>
    <row r="110" spans="2:22" s="170" customFormat="1" x14ac:dyDescent="0.15">
      <c r="B110" s="167"/>
      <c r="C110" s="188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89"/>
      <c r="S110" s="167"/>
      <c r="T110" s="167"/>
      <c r="U110" s="167"/>
      <c r="V110" s="167"/>
    </row>
    <row r="111" spans="2:22" s="170" customFormat="1" x14ac:dyDescent="0.15">
      <c r="B111" s="167"/>
      <c r="C111" s="188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89"/>
      <c r="S111" s="167"/>
      <c r="T111" s="167"/>
      <c r="U111" s="167"/>
      <c r="V111" s="167"/>
    </row>
    <row r="112" spans="2:22" s="170" customFormat="1" x14ac:dyDescent="0.15">
      <c r="B112" s="167"/>
      <c r="C112" s="188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89"/>
      <c r="S112" s="167"/>
      <c r="T112" s="167"/>
      <c r="U112" s="167"/>
      <c r="V112" s="167"/>
    </row>
    <row r="113" spans="2:22" s="170" customFormat="1" x14ac:dyDescent="0.15">
      <c r="B113" s="167"/>
      <c r="C113" s="188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89"/>
      <c r="S113" s="167"/>
      <c r="T113" s="167"/>
      <c r="U113" s="167"/>
      <c r="V113" s="167"/>
    </row>
    <row r="114" spans="2:22" s="170" customFormat="1" x14ac:dyDescent="0.15">
      <c r="B114" s="167"/>
      <c r="C114" s="188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89"/>
      <c r="S114" s="167"/>
      <c r="T114" s="167"/>
      <c r="U114" s="167"/>
      <c r="V114" s="167"/>
    </row>
    <row r="115" spans="2:22" s="170" customFormat="1" x14ac:dyDescent="0.15">
      <c r="B115" s="167"/>
      <c r="C115" s="188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89"/>
      <c r="S115" s="167"/>
      <c r="T115" s="167"/>
      <c r="U115" s="167"/>
      <c r="V115" s="167"/>
    </row>
    <row r="116" spans="2:22" s="170" customFormat="1" x14ac:dyDescent="0.15">
      <c r="B116" s="167"/>
      <c r="C116" s="188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89"/>
      <c r="S116" s="167"/>
      <c r="T116" s="167"/>
      <c r="U116" s="167"/>
      <c r="V116" s="167"/>
    </row>
    <row r="117" spans="2:22" s="170" customFormat="1" x14ac:dyDescent="0.15">
      <c r="B117" s="167"/>
      <c r="C117" s="188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89"/>
      <c r="S117" s="167"/>
      <c r="T117" s="167"/>
      <c r="U117" s="167"/>
      <c r="V117" s="167"/>
    </row>
    <row r="118" spans="2:22" s="170" customFormat="1" x14ac:dyDescent="0.15">
      <c r="B118" s="167"/>
      <c r="C118" s="188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89"/>
      <c r="S118" s="167"/>
      <c r="T118" s="167"/>
      <c r="U118" s="167"/>
      <c r="V118" s="167"/>
    </row>
    <row r="119" spans="2:22" s="170" customFormat="1" x14ac:dyDescent="0.15">
      <c r="B119" s="167"/>
      <c r="C119" s="188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89"/>
      <c r="S119" s="167"/>
      <c r="T119" s="167"/>
      <c r="U119" s="167"/>
      <c r="V119" s="167"/>
    </row>
    <row r="120" spans="2:22" s="170" customFormat="1" x14ac:dyDescent="0.15">
      <c r="B120" s="167"/>
      <c r="C120" s="188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89"/>
      <c r="S120" s="167"/>
      <c r="T120" s="167"/>
      <c r="U120" s="167"/>
      <c r="V120" s="167"/>
    </row>
    <row r="121" spans="2:22" s="170" customFormat="1" x14ac:dyDescent="0.15">
      <c r="B121" s="167"/>
      <c r="C121" s="188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89"/>
      <c r="S121" s="167"/>
      <c r="T121" s="167"/>
      <c r="U121" s="167"/>
      <c r="V121" s="167"/>
    </row>
    <row r="122" spans="2:22" s="170" customFormat="1" x14ac:dyDescent="0.15">
      <c r="B122" s="167"/>
      <c r="C122" s="188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89"/>
      <c r="S122" s="167"/>
      <c r="T122" s="167"/>
      <c r="U122" s="167"/>
      <c r="V122" s="167"/>
    </row>
    <row r="123" spans="2:22" s="170" customFormat="1" x14ac:dyDescent="0.15">
      <c r="B123" s="167"/>
      <c r="C123" s="188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89"/>
      <c r="S123" s="167"/>
      <c r="T123" s="167"/>
      <c r="U123" s="167"/>
      <c r="V123" s="167"/>
    </row>
    <row r="124" spans="2:22" s="170" customFormat="1" x14ac:dyDescent="0.15">
      <c r="B124" s="167"/>
      <c r="C124" s="188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89"/>
      <c r="S124" s="167"/>
      <c r="T124" s="167"/>
      <c r="U124" s="167"/>
      <c r="V124" s="167"/>
    </row>
    <row r="125" spans="2:22" s="170" customFormat="1" x14ac:dyDescent="0.15">
      <c r="B125" s="167"/>
      <c r="C125" s="188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89"/>
      <c r="S125" s="167"/>
      <c r="T125" s="167"/>
      <c r="U125" s="167"/>
      <c r="V125" s="167"/>
    </row>
    <row r="126" spans="2:22" s="170" customFormat="1" x14ac:dyDescent="0.15">
      <c r="B126" s="167"/>
      <c r="C126" s="188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89"/>
      <c r="S126" s="167"/>
      <c r="T126" s="167"/>
      <c r="U126" s="167"/>
      <c r="V126" s="167"/>
    </row>
    <row r="127" spans="2:22" s="170" customFormat="1" x14ac:dyDescent="0.15">
      <c r="B127" s="167"/>
      <c r="C127" s="188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89"/>
      <c r="S127" s="167"/>
      <c r="T127" s="167"/>
      <c r="U127" s="167"/>
      <c r="V127" s="167"/>
    </row>
    <row r="128" spans="2:22" s="170" customFormat="1" x14ac:dyDescent="0.15">
      <c r="B128" s="167"/>
      <c r="C128" s="188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89"/>
      <c r="S128" s="167"/>
      <c r="T128" s="167"/>
      <c r="U128" s="167"/>
      <c r="V128" s="167"/>
    </row>
    <row r="129" spans="2:25" s="170" customFormat="1" x14ac:dyDescent="0.15">
      <c r="B129" s="167"/>
      <c r="C129" s="188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89"/>
      <c r="S129" s="167"/>
      <c r="T129" s="167"/>
      <c r="U129" s="167"/>
      <c r="V129" s="167"/>
    </row>
    <row r="130" spans="2:25" x14ac:dyDescent="0.15">
      <c r="X130" s="170"/>
      <c r="Y130" s="170"/>
    </row>
    <row r="131" spans="2:25" x14ac:dyDescent="0.15">
      <c r="Y131" s="170"/>
    </row>
  </sheetData>
  <sheetProtection algorithmName="SHA-512" hashValue="AxI3e9CuVEsqF0v86uyl/H0ulxYWabyIiAjqaA+HyWYaxNZDmgtVkxA7tykbsis5K414+a1vRdIXnafcl9Vrqw==" saltValue="cMqc5/p6eFLjhPeQSM7Rbg==" spinCount="100000" sheet="1" objects="1" scenarios="1" selectLockedCells="1"/>
  <customSheetViews>
    <customSheetView guid="{82B311FB-57F0-41B4-A7C3-5882014D86A1}" scale="70" fitToPage="1">
      <selection activeCell="A17" sqref="A17"/>
      <rowBreaks count="1" manualBreakCount="1">
        <brk id="21" max="20" man="1"/>
      </rowBreaks>
      <pageMargins left="0" right="0" top="0" bottom="0" header="0.19685039370078741" footer="0.19685039370078741"/>
      <printOptions horizontalCentered="1" verticalCentered="1"/>
      <pageSetup paperSize="9" scale="53" orientation="landscape" r:id="rId1"/>
      <headerFooter alignWithMargins="0"/>
    </customSheetView>
  </customSheetViews>
  <mergeCells count="5">
    <mergeCell ref="B24:B29"/>
    <mergeCell ref="B33:B38"/>
    <mergeCell ref="B3:B5"/>
    <mergeCell ref="B9:B12"/>
    <mergeCell ref="B16:B20"/>
  </mergeCells>
  <conditionalFormatting sqref="S2:S6 S9:S13 S16:S20 S24:S28 S33:S37">
    <cfRule type="cellIs" dxfId="0" priority="1" operator="equal">
      <formula>0</formula>
    </cfRule>
  </conditionalFormatting>
  <printOptions horizontalCentered="1" verticalCentered="1"/>
  <pageMargins left="0" right="0" top="0" bottom="0" header="0.19685039370078741" footer="0.19685039370078741"/>
  <pageSetup paperSize="9" scale="53" orientation="landscape" r:id="rId2"/>
  <headerFooter alignWithMargins="0"/>
  <rowBreaks count="1" manualBreakCount="1">
    <brk id="21" max="20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>
    <tabColor rgb="FF0070C0"/>
    <pageSetUpPr fitToPage="1"/>
  </sheetPr>
  <dimension ref="A1:S65"/>
  <sheetViews>
    <sheetView showGridLines="0" zoomScale="70" zoomScaleNormal="70" workbookViewId="0">
      <selection activeCell="Q6" sqref="Q6:Q7"/>
    </sheetView>
  </sheetViews>
  <sheetFormatPr defaultColWidth="9.16796875" defaultRowHeight="32.25" x14ac:dyDescent="0.15"/>
  <cols>
    <col min="1" max="1" width="4.44921875" style="100" customWidth="1"/>
    <col min="2" max="2" width="6.60546875" style="100" customWidth="1"/>
    <col min="3" max="3" width="12.67578125" style="100" customWidth="1"/>
    <col min="4" max="4" width="16.98828125" style="100" customWidth="1"/>
    <col min="5" max="5" width="12" style="100" bestFit="1" customWidth="1"/>
    <col min="6" max="7" width="17.125" style="100" customWidth="1"/>
    <col min="8" max="8" width="16.5859375" style="100" customWidth="1"/>
    <col min="9" max="9" width="17.125" style="100" customWidth="1"/>
    <col min="10" max="10" width="14.15625" style="100" customWidth="1"/>
    <col min="11" max="12" width="17.125" style="100" customWidth="1"/>
    <col min="13" max="13" width="16.98828125" style="100" customWidth="1"/>
    <col min="14" max="14" width="10.65234375" style="100" customWidth="1"/>
    <col min="15" max="15" width="22.7890625" style="100" bestFit="1" customWidth="1"/>
    <col min="16" max="16" width="37.21875" style="100" bestFit="1" customWidth="1"/>
    <col min="17" max="18" width="15.77734375" style="100" customWidth="1"/>
    <col min="19" max="19" width="16.1796875" style="100" customWidth="1"/>
    <col min="20" max="16384" width="9.16796875" style="100"/>
  </cols>
  <sheetData>
    <row r="1" spans="1:19" ht="31.5" customHeight="1" thickBot="1" x14ac:dyDescent="0.2">
      <c r="A1" s="211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19" ht="27.6" customHeight="1" x14ac:dyDescent="0.15">
      <c r="A2" s="211"/>
      <c r="B2" s="1320"/>
      <c r="C2" s="1321"/>
      <c r="D2" s="1321"/>
      <c r="E2" s="1321"/>
      <c r="F2" s="1357" t="s">
        <v>10</v>
      </c>
      <c r="G2" s="1357"/>
      <c r="H2" s="1357"/>
      <c r="I2" s="1357"/>
      <c r="J2" s="1357"/>
      <c r="K2" s="1343"/>
      <c r="L2" s="783" t="s">
        <v>361</v>
      </c>
      <c r="M2" s="781" t="s">
        <v>274</v>
      </c>
      <c r="N2" s="211"/>
      <c r="O2" s="887" t="s">
        <v>179</v>
      </c>
      <c r="P2" s="1351" t="str">
        <f>COM!$B$1</f>
        <v>สุพรีม ไลฟ์  โพรเทคเตอร์ A90/20</v>
      </c>
      <c r="Q2" s="1352"/>
      <c r="R2" s="1286"/>
      <c r="S2" s="1286" t="str">
        <f>COM!E1</f>
        <v>20SLPA</v>
      </c>
    </row>
    <row r="3" spans="1:19" ht="27.6" customHeight="1" x14ac:dyDescent="0.15">
      <c r="A3" s="211"/>
      <c r="B3" s="1322"/>
      <c r="C3" s="1323"/>
      <c r="D3" s="1323"/>
      <c r="E3" s="1323"/>
      <c r="F3" s="1358"/>
      <c r="G3" s="1358"/>
      <c r="H3" s="1358"/>
      <c r="I3" s="1358"/>
      <c r="J3" s="1358"/>
      <c r="K3" s="1344"/>
      <c r="L3" s="784">
        <f>P4</f>
        <v>0.75</v>
      </c>
      <c r="M3" s="782">
        <f>IF($Q$6="Auto",'COM10'!K3,P6)</f>
        <v>0.75</v>
      </c>
      <c r="N3" s="211"/>
      <c r="O3" s="887"/>
      <c r="P3" s="1353"/>
      <c r="Q3" s="1354"/>
      <c r="R3" s="1286"/>
      <c r="S3" s="1286"/>
    </row>
    <row r="4" spans="1:19" ht="22.5" customHeight="1" x14ac:dyDescent="0.15">
      <c r="A4" s="211"/>
      <c r="B4" s="1333" t="s">
        <v>12</v>
      </c>
      <c r="C4" s="1336" t="s">
        <v>13</v>
      </c>
      <c r="D4" s="1327" t="str">
        <f>P2</f>
        <v>สุพรีม ไลฟ์  โพรเทคเตอร์ A90/20</v>
      </c>
      <c r="E4" s="1328"/>
      <c r="F4" s="1329"/>
      <c r="G4" s="1341" t="s">
        <v>17</v>
      </c>
      <c r="H4" s="1341"/>
      <c r="I4" s="1319" t="s">
        <v>165</v>
      </c>
      <c r="J4" s="1324" t="s">
        <v>289</v>
      </c>
      <c r="K4" s="1319" t="s">
        <v>290</v>
      </c>
      <c r="L4" s="1342" t="s">
        <v>18</v>
      </c>
      <c r="M4" s="1345" t="s">
        <v>19</v>
      </c>
      <c r="N4" s="211"/>
      <c r="O4" s="887" t="s">
        <v>361</v>
      </c>
      <c r="P4" s="1294">
        <f>COM!F1</f>
        <v>0.75</v>
      </c>
      <c r="Q4" s="1295"/>
      <c r="R4" s="170"/>
      <c r="S4" s="170"/>
    </row>
    <row r="5" spans="1:19" ht="22.15" customHeight="1" x14ac:dyDescent="0.15">
      <c r="A5" s="211"/>
      <c r="B5" s="1334"/>
      <c r="C5" s="1337"/>
      <c r="D5" s="1330"/>
      <c r="E5" s="1331"/>
      <c r="F5" s="1332"/>
      <c r="G5" s="1341"/>
      <c r="H5" s="1341"/>
      <c r="I5" s="1341"/>
      <c r="J5" s="1325"/>
      <c r="K5" s="1319"/>
      <c r="L5" s="1342"/>
      <c r="M5" s="1345"/>
      <c r="N5" s="211"/>
      <c r="O5" s="887"/>
      <c r="P5" s="1296"/>
      <c r="Q5" s="1297"/>
      <c r="R5" s="170"/>
      <c r="S5" s="170"/>
    </row>
    <row r="6" spans="1:19" ht="31.9" customHeight="1" x14ac:dyDescent="0.15">
      <c r="A6" s="211"/>
      <c r="B6" s="1334"/>
      <c r="C6" s="1337"/>
      <c r="D6" s="1339" t="s">
        <v>14</v>
      </c>
      <c r="E6" s="1339" t="s">
        <v>15</v>
      </c>
      <c r="F6" s="1339" t="s">
        <v>16</v>
      </c>
      <c r="G6" s="541" t="s">
        <v>152</v>
      </c>
      <c r="H6" s="541" t="s">
        <v>242</v>
      </c>
      <c r="I6" s="1341"/>
      <c r="J6" s="1326"/>
      <c r="K6" s="1319"/>
      <c r="L6" s="1342"/>
      <c r="M6" s="1345"/>
      <c r="N6" s="211"/>
      <c r="O6" s="887" t="s">
        <v>274</v>
      </c>
      <c r="P6" s="1347">
        <v>0.85</v>
      </c>
      <c r="Q6" s="1355" t="s">
        <v>182</v>
      </c>
      <c r="R6" s="1286"/>
    </row>
    <row r="7" spans="1:19" ht="22.15" customHeight="1" x14ac:dyDescent="0.15">
      <c r="A7" s="211"/>
      <c r="B7" s="1335"/>
      <c r="C7" s="1338"/>
      <c r="D7" s="1340"/>
      <c r="E7" s="1340"/>
      <c r="F7" s="1340"/>
      <c r="G7" s="218" t="str">
        <f>IF($M$3&lt;70%,0,
IF($F$8*$L$3/12&gt;64000,"35%",
IF(AND($F$8*$L$3/12&gt;32000,$F$8*$L$3/12&lt;=64000),"30%",
IF(AND($F$8*$L$3/12&gt;16000,$F$8*$L$3/12&lt;=32000),"25%",
IF(AND($F$8*$L$3/12&gt;8000,$F$8*$L$3/12&lt;=16000),"20%",
0)))))</f>
        <v>35%</v>
      </c>
      <c r="H7" s="218">
        <f>IF($F$8*$L$3/2&gt;400000,"35%",
IF(AND($F$8*$L$3/2&gt;300000,$F$8*$L$3/2&lt;=400000),"32.5%",
IF(AND($F$8*$L$3/2&gt;250000,$F$8*$L$3/2&lt;=300000),"30%",
IF(AND($F$8*$L$3/2&gt;200000,$F$8*$L$3/2&lt;=250000),"27.5%",
IF(AND($F$8*$L$3/2&gt;150000,$F$8*$L$3/2&lt;=200000),"25%",
IF(AND($F$8*$L$3/2&gt;100000,$F$8*$L$3/2&lt;=150000),"22.5%",
IF(AND($F$8*$L$3/2&gt;60000,$F$8*$L$3/2&lt;=100000),"20%",
IF(AND($F$8*$L$3/2&gt;40000,$F$8*$L$3/2&lt;=60000),"17.5%",
1))))))))*(IF($M$3&lt;70%,0%,IF(AND($M$3&gt;=70%,$M$3&lt;85%),100%,IF($M$3&gt;=85%,110%,))))</f>
        <v>0.35</v>
      </c>
      <c r="I7" s="1341"/>
      <c r="J7" s="534" t="str">
        <f>IF(Q10="Auto",Life!$E$10,IF(Q10="Manual",P10,0))*3&amp;" ราย/3ด."</f>
        <v>120 ราย/3ด.</v>
      </c>
      <c r="K7" s="218">
        <v>0.05</v>
      </c>
      <c r="L7" s="1340"/>
      <c r="M7" s="1346"/>
      <c r="N7" s="211"/>
      <c r="O7" s="887"/>
      <c r="P7" s="1348"/>
      <c r="Q7" s="1355"/>
      <c r="R7" s="1286"/>
    </row>
    <row r="8" spans="1:19" x14ac:dyDescent="0.15">
      <c r="A8" s="211"/>
      <c r="B8" s="520">
        <v>1</v>
      </c>
      <c r="C8" s="537">
        <f>TIME!D5</f>
        <v>2569</v>
      </c>
      <c r="D8" s="522">
        <f>IF(Q8="Auto",'COM10'!C3,IF(Q8="Manual",P8,0))</f>
        <v>3000000</v>
      </c>
      <c r="E8" s="523">
        <f>IF($Q$13="Auto",'COM10'!C11,P13)</f>
        <v>0.4</v>
      </c>
      <c r="F8" s="538">
        <f>D8*E8</f>
        <v>1200000</v>
      </c>
      <c r="G8" s="538">
        <f>F8*$L$3*$G$7</f>
        <v>315000</v>
      </c>
      <c r="H8" s="538">
        <f>IF($F$8*$L$3/2&gt;400000,"35%",
IF(AND($F$8*$L$3/2&gt;300000,$F$8*$L$3/2&lt;=400000),"32.5%",
IF(AND($F$8*$L$3/2&gt;250000,$F$8*$L$3/2&lt;=300000),"30%",
IF(AND($F$8*$L$3/2&gt;200000,$F$8*$L$3/2&lt;=250000),"27.5%",
IF(AND($F$8*$L$3/2&gt;150000,$F$8*$L$3/2&lt;=200000),"25%",
IF(AND($F$8*$L$3/2&gt;100000,$F$8*$L$3/2&lt;=150000),"22.5%",
IF(AND($F$8*$L$3/2&gt;60000,$F$8*$L$3/2&lt;=100000),"20%",
IF(AND($F$8*$L$3/2&gt;40000,$F$8*$L$3/2&lt;=60000),"17.5%",
1))))))))*$F8*$L$3</f>
        <v>315000</v>
      </c>
      <c r="I8" s="538"/>
      <c r="J8" s="538">
        <f>IF($Q$10="Auto",(IF(AND(Life!$E$10*3&gt;=5,F8*$L$3/4&gt;=50000),15000,IF(AND(Life!$E$10*3&gt;=3,F8*$L$3/4&gt;=20000),6000,0))+IF(AND(Life!$E$10*3&gt;=10,F8*$L$3/4&gt;=100000),25000,IF(AND(Life!$E$10*3&gt;=5,F8*$L$3/4&gt;=40000),10000,0))),
(IF(AND(P10*3&gt;=5,F8*$L$3/4&gt;=50000),15000,IF(AND(P10*3&gt;=3,F8*$L$3/4&gt;=20000),6000,0))+IF(AND(P10*3&gt;=10,F8*$L$3/4&gt;=100000),25000,IF(AND(P10*3&gt;=5,F8*$L$3/4&gt;=40000),10000,0))))</f>
        <v>40000</v>
      </c>
      <c r="K8" s="538">
        <f>F8*$L$3*$K$7</f>
        <v>45000</v>
      </c>
      <c r="L8" s="535">
        <f>SUM(F8:K8)</f>
        <v>1915000</v>
      </c>
      <c r="M8" s="204">
        <f>L8/12</f>
        <v>159583.33333333334</v>
      </c>
      <c r="N8" s="211"/>
      <c r="O8" s="887" t="s">
        <v>23</v>
      </c>
      <c r="P8" s="1356">
        <v>3000000</v>
      </c>
      <c r="Q8" s="1355" t="s">
        <v>410</v>
      </c>
    </row>
    <row r="9" spans="1:19" s="211" customFormat="1" ht="4.5" customHeight="1" x14ac:dyDescent="0.15">
      <c r="B9" s="220"/>
      <c r="C9" s="212"/>
      <c r="D9" s="212"/>
      <c r="E9" s="213"/>
      <c r="F9" s="214"/>
      <c r="G9" s="214"/>
      <c r="H9" s="214"/>
      <c r="I9" s="214"/>
      <c r="J9" s="214"/>
      <c r="K9" s="214"/>
      <c r="L9" s="215"/>
      <c r="M9" s="216"/>
      <c r="O9" s="887"/>
      <c r="P9" s="1356"/>
      <c r="Q9" s="1355"/>
      <c r="R9" s="100"/>
      <c r="S9" s="100"/>
    </row>
    <row r="10" spans="1:19" ht="31.9" customHeight="1" x14ac:dyDescent="0.15">
      <c r="A10" s="211"/>
      <c r="B10" s="1298">
        <v>2</v>
      </c>
      <c r="C10" s="524">
        <f>C8+1</f>
        <v>2570</v>
      </c>
      <c r="D10" s="525">
        <f>D8</f>
        <v>3000000</v>
      </c>
      <c r="E10" s="526">
        <f>IF($Q$13="Auto",'COM10'!C11,P13)</f>
        <v>0.4</v>
      </c>
      <c r="F10" s="539">
        <f>D10*E10</f>
        <v>1200000</v>
      </c>
      <c r="G10" s="539">
        <f>F10*$L$3*$G$7</f>
        <v>315000</v>
      </c>
      <c r="H10" s="539">
        <f>$F10*$L$3*$H$7</f>
        <v>315000</v>
      </c>
      <c r="I10" s="539"/>
      <c r="J10" s="539"/>
      <c r="K10" s="539">
        <f>F10*$L$3*$K$7</f>
        <v>45000</v>
      </c>
      <c r="L10" s="1300">
        <f>SUM(F10:K11)</f>
        <v>2355000</v>
      </c>
      <c r="M10" s="1301">
        <f>L10/12</f>
        <v>196250</v>
      </c>
      <c r="N10" s="211"/>
      <c r="O10" s="1349" t="s">
        <v>286</v>
      </c>
      <c r="P10" s="1350">
        <v>2</v>
      </c>
      <c r="Q10" s="1355" t="s">
        <v>182</v>
      </c>
      <c r="R10" s="800"/>
    </row>
    <row r="11" spans="1:19" ht="31.9" customHeight="1" x14ac:dyDescent="0.15">
      <c r="A11" s="211"/>
      <c r="B11" s="1299"/>
      <c r="C11" s="530">
        <f>C8</f>
        <v>2569</v>
      </c>
      <c r="D11" s="531">
        <f>D8</f>
        <v>3000000</v>
      </c>
      <c r="E11" s="532">
        <f>IF($Q$13="Auto",'COM10'!C12,P15)</f>
        <v>0.16</v>
      </c>
      <c r="F11" s="205">
        <f>D11*E11</f>
        <v>480000</v>
      </c>
      <c r="G11" s="206"/>
      <c r="H11" s="206"/>
      <c r="I11" s="206"/>
      <c r="J11" s="206"/>
      <c r="K11" s="206"/>
      <c r="L11" s="1300"/>
      <c r="M11" s="1301"/>
      <c r="N11" s="211"/>
      <c r="O11" s="1349"/>
      <c r="P11" s="1350"/>
      <c r="Q11" s="1355"/>
      <c r="R11" s="801"/>
      <c r="S11" s="211"/>
    </row>
    <row r="12" spans="1:19" s="211" customFormat="1" ht="4.5" customHeight="1" x14ac:dyDescent="0.15">
      <c r="B12" s="221"/>
      <c r="C12" s="217"/>
      <c r="D12" s="217"/>
      <c r="E12" s="213"/>
      <c r="F12" s="214"/>
      <c r="G12" s="214"/>
      <c r="H12" s="214"/>
      <c r="I12" s="214"/>
      <c r="J12" s="214"/>
      <c r="K12" s="214"/>
      <c r="L12" s="215"/>
      <c r="M12" s="216"/>
      <c r="O12" s="1349"/>
      <c r="P12" s="1350"/>
      <c r="Q12" s="1355"/>
      <c r="R12" s="100"/>
      <c r="S12" s="100"/>
    </row>
    <row r="13" spans="1:19" ht="31.9" customHeight="1" x14ac:dyDescent="0.15">
      <c r="A13" s="211"/>
      <c r="B13" s="1298">
        <v>3</v>
      </c>
      <c r="C13" s="524">
        <f>C8+2</f>
        <v>2571</v>
      </c>
      <c r="D13" s="525">
        <f>D8</f>
        <v>3000000</v>
      </c>
      <c r="E13" s="526">
        <f>IF($Q$13="Auto",'COM10'!C11,P13)</f>
        <v>0.4</v>
      </c>
      <c r="F13" s="539">
        <f>D13*E13</f>
        <v>1200000</v>
      </c>
      <c r="G13" s="539">
        <f>F13*$L$3*$G$7</f>
        <v>315000</v>
      </c>
      <c r="H13" s="539">
        <f>$F13*$L$3*$H$7</f>
        <v>315000</v>
      </c>
      <c r="I13" s="1302">
        <f>IF(AND(F10*$L$3&gt;=200000,$M$3&gt;=85%),F11*$M$3*$L$3*110%,IF(AND(F10*$L$3&gt;=100000,$M$3&gt;=75%),F11*$M$3*$L$3*100%,0))</f>
        <v>270000</v>
      </c>
      <c r="J13" s="539"/>
      <c r="K13" s="539">
        <f>F13*$L$3*$K$7</f>
        <v>45000</v>
      </c>
      <c r="L13" s="1300">
        <f>SUM(F13:K15)</f>
        <v>2925000</v>
      </c>
      <c r="M13" s="1301">
        <f>L13/12</f>
        <v>243750</v>
      </c>
      <c r="N13" s="211"/>
      <c r="O13" s="1287" t="s">
        <v>151</v>
      </c>
      <c r="P13" s="1289">
        <v>0.3</v>
      </c>
      <c r="Q13" s="1291" t="s">
        <v>182</v>
      </c>
      <c r="R13" s="800"/>
    </row>
    <row r="14" spans="1:19" ht="31.9" customHeight="1" x14ac:dyDescent="0.15">
      <c r="A14" s="211"/>
      <c r="B14" s="1299"/>
      <c r="C14" s="527">
        <f>C8+1</f>
        <v>2570</v>
      </c>
      <c r="D14" s="528">
        <f>D8</f>
        <v>3000000</v>
      </c>
      <c r="E14" s="529">
        <f>IF($Q$13="Auto",'COM10'!C12,P15)</f>
        <v>0.16</v>
      </c>
      <c r="F14" s="207">
        <f>D14*E14</f>
        <v>480000</v>
      </c>
      <c r="G14" s="208"/>
      <c r="H14" s="208"/>
      <c r="I14" s="1303"/>
      <c r="J14" s="208"/>
      <c r="K14" s="208"/>
      <c r="L14" s="1300"/>
      <c r="M14" s="1301"/>
      <c r="N14" s="211"/>
      <c r="O14" s="1288"/>
      <c r="P14" s="1290"/>
      <c r="Q14" s="1292"/>
    </row>
    <row r="15" spans="1:19" ht="31.9" customHeight="1" x14ac:dyDescent="0.15">
      <c r="A15" s="211"/>
      <c r="B15" s="1299"/>
      <c r="C15" s="530">
        <f>C8</f>
        <v>2569</v>
      </c>
      <c r="D15" s="531">
        <f>D8</f>
        <v>3000000</v>
      </c>
      <c r="E15" s="532">
        <f>IF($Q$13="Auto",'COM10'!C13,P17)</f>
        <v>0.1</v>
      </c>
      <c r="F15" s="205">
        <f>D15*E15</f>
        <v>300000</v>
      </c>
      <c r="G15" s="206"/>
      <c r="H15" s="206"/>
      <c r="I15" s="1304"/>
      <c r="J15" s="206"/>
      <c r="K15" s="206"/>
      <c r="L15" s="1300"/>
      <c r="M15" s="1301"/>
      <c r="N15" s="211"/>
      <c r="O15" s="1287" t="s">
        <v>57</v>
      </c>
      <c r="P15" s="1289">
        <v>0.15</v>
      </c>
      <c r="Q15" s="1292"/>
      <c r="R15" s="211"/>
      <c r="S15" s="211"/>
    </row>
    <row r="16" spans="1:19" s="211" customFormat="1" ht="4.5" customHeight="1" x14ac:dyDescent="0.15">
      <c r="B16" s="221"/>
      <c r="C16" s="217"/>
      <c r="D16" s="217"/>
      <c r="E16" s="213"/>
      <c r="F16" s="214"/>
      <c r="G16" s="214"/>
      <c r="H16" s="214"/>
      <c r="I16" s="214"/>
      <c r="J16" s="214"/>
      <c r="K16" s="214"/>
      <c r="L16" s="215"/>
      <c r="M16" s="216"/>
      <c r="O16" s="1288"/>
      <c r="P16" s="1290"/>
      <c r="Q16" s="1292"/>
      <c r="R16" s="100"/>
      <c r="S16" s="100"/>
    </row>
    <row r="17" spans="1:19" ht="31.9" customHeight="1" x14ac:dyDescent="0.15">
      <c r="A17" s="211"/>
      <c r="B17" s="1298">
        <v>4</v>
      </c>
      <c r="C17" s="524">
        <f>C8+3</f>
        <v>2572</v>
      </c>
      <c r="D17" s="525">
        <f>D8</f>
        <v>3000000</v>
      </c>
      <c r="E17" s="526">
        <f>IF($Q$13="Auto",'COM10'!C11,P13)</f>
        <v>0.4</v>
      </c>
      <c r="F17" s="539">
        <f>D17*E17</f>
        <v>1200000</v>
      </c>
      <c r="G17" s="539">
        <f>F17*$L$3*$G$7</f>
        <v>315000</v>
      </c>
      <c r="H17" s="539">
        <f>$F17*$L$3*$H$7</f>
        <v>315000</v>
      </c>
      <c r="I17" s="1302">
        <f>IF(AND(F13*$L$3&gt;=200000,$M$3&gt;=85%),SUM(F14:F15)*$M$3*$L$3*110%,IF(AND(F13*$L$3&gt;=100000,$M$3&gt;=75%),SUM(F14:F15)*$M$3*$L$3*100%,0))</f>
        <v>438750</v>
      </c>
      <c r="J17" s="539"/>
      <c r="K17" s="539">
        <f>F17*$L$3*$K$7</f>
        <v>45000</v>
      </c>
      <c r="L17" s="1300">
        <f>SUM(F17:K20)</f>
        <v>3243750</v>
      </c>
      <c r="M17" s="1301">
        <f>L17/12</f>
        <v>270312.5</v>
      </c>
      <c r="N17" s="211"/>
      <c r="O17" s="364" t="s">
        <v>58</v>
      </c>
      <c r="P17" s="607">
        <v>0.1</v>
      </c>
      <c r="Q17" s="1292"/>
    </row>
    <row r="18" spans="1:19" ht="31.9" customHeight="1" x14ac:dyDescent="0.15">
      <c r="A18" s="211"/>
      <c r="B18" s="1299"/>
      <c r="C18" s="527">
        <f>C8+2</f>
        <v>2571</v>
      </c>
      <c r="D18" s="528">
        <f>D8</f>
        <v>3000000</v>
      </c>
      <c r="E18" s="529">
        <f>IF($Q$13="Auto",'COM10'!C12,P15)</f>
        <v>0.16</v>
      </c>
      <c r="F18" s="207">
        <f>D18*E18</f>
        <v>480000</v>
      </c>
      <c r="G18" s="208"/>
      <c r="H18" s="208"/>
      <c r="I18" s="1303"/>
      <c r="J18" s="208"/>
      <c r="K18" s="208"/>
      <c r="L18" s="1300"/>
      <c r="M18" s="1301"/>
      <c r="N18" s="211"/>
      <c r="O18" s="760" t="s">
        <v>59</v>
      </c>
      <c r="P18" s="761">
        <v>0.05</v>
      </c>
      <c r="Q18" s="1292"/>
    </row>
    <row r="19" spans="1:19" ht="31.9" customHeight="1" x14ac:dyDescent="0.15">
      <c r="A19" s="211"/>
      <c r="B19" s="1299"/>
      <c r="C19" s="527">
        <f>C8+1</f>
        <v>2570</v>
      </c>
      <c r="D19" s="528">
        <f>D8</f>
        <v>3000000</v>
      </c>
      <c r="E19" s="529">
        <f>IF($Q$13="Auto",'COM10'!C13,P17)</f>
        <v>0.1</v>
      </c>
      <c r="F19" s="207">
        <f>D19*E19</f>
        <v>300000</v>
      </c>
      <c r="G19" s="208"/>
      <c r="H19" s="208"/>
      <c r="I19" s="1303"/>
      <c r="J19" s="208"/>
      <c r="K19" s="208"/>
      <c r="L19" s="1300"/>
      <c r="M19" s="1301"/>
      <c r="N19" s="211"/>
      <c r="O19" s="364" t="s">
        <v>60</v>
      </c>
      <c r="P19" s="607">
        <v>0.05</v>
      </c>
      <c r="Q19" s="1293"/>
    </row>
    <row r="20" spans="1:19" ht="31.9" customHeight="1" x14ac:dyDescent="0.15">
      <c r="A20" s="211"/>
      <c r="B20" s="1299"/>
      <c r="C20" s="530">
        <f>C8</f>
        <v>2569</v>
      </c>
      <c r="D20" s="531">
        <f>D8</f>
        <v>3000000</v>
      </c>
      <c r="E20" s="532">
        <f>IF($Q$13="Auto",'COM10'!C14,P18)</f>
        <v>0.05</v>
      </c>
      <c r="F20" s="205">
        <f>D20*E20</f>
        <v>150000</v>
      </c>
      <c r="G20" s="206"/>
      <c r="H20" s="206"/>
      <c r="I20" s="1304"/>
      <c r="J20" s="206"/>
      <c r="K20" s="206"/>
      <c r="L20" s="1300"/>
      <c r="M20" s="1301"/>
      <c r="N20" s="211"/>
      <c r="R20" s="211"/>
      <c r="S20" s="211"/>
    </row>
    <row r="21" spans="1:19" s="211" customFormat="1" ht="4.5" customHeight="1" x14ac:dyDescent="0.15">
      <c r="B21" s="221"/>
      <c r="C21" s="217"/>
      <c r="D21" s="217"/>
      <c r="E21" s="213"/>
      <c r="F21" s="214"/>
      <c r="G21" s="214"/>
      <c r="H21" s="214"/>
      <c r="I21" s="214"/>
      <c r="J21" s="214"/>
      <c r="K21" s="214"/>
      <c r="L21" s="215"/>
      <c r="M21" s="216"/>
      <c r="O21" s="100"/>
      <c r="P21" s="100"/>
      <c r="Q21" s="100"/>
      <c r="R21" s="100"/>
      <c r="S21" s="100"/>
    </row>
    <row r="22" spans="1:19" ht="32.450000000000003" customHeight="1" x14ac:dyDescent="0.15">
      <c r="A22" s="211"/>
      <c r="B22" s="1298">
        <v>5</v>
      </c>
      <c r="C22" s="524">
        <f>C8+4</f>
        <v>2573</v>
      </c>
      <c r="D22" s="525">
        <f>D8</f>
        <v>3000000</v>
      </c>
      <c r="E22" s="526">
        <f>IF($Q$13="Auto",'COM10'!C11,P13)</f>
        <v>0.4</v>
      </c>
      <c r="F22" s="539">
        <f>D22*E22</f>
        <v>1200000</v>
      </c>
      <c r="G22" s="539">
        <f>F22*$L$3*$G$7</f>
        <v>315000</v>
      </c>
      <c r="H22" s="539">
        <f>$F22*$L$3*$H$7</f>
        <v>315000</v>
      </c>
      <c r="I22" s="1302">
        <f>IF(AND(F17*$L$3&gt;=200000,$M$3&gt;=85%),SUM(F18:F20)*$M$3*$L$3*110%,IF(AND(F17*$L$3&gt;=100000,$M$3&gt;=75%),SUM(F18:F20)*$M$3*$L$3*100%,0))</f>
        <v>523125</v>
      </c>
      <c r="J22" s="539"/>
      <c r="K22" s="539">
        <f>F22*$L$3*$K$7</f>
        <v>45000</v>
      </c>
      <c r="L22" s="1300">
        <f>SUM(F22:K26)</f>
        <v>3478125</v>
      </c>
      <c r="M22" s="1301">
        <f>L22/12</f>
        <v>289843.75</v>
      </c>
      <c r="N22" s="211"/>
    </row>
    <row r="23" spans="1:19" x14ac:dyDescent="0.15">
      <c r="A23" s="211"/>
      <c r="B23" s="1299"/>
      <c r="C23" s="527">
        <f>C8+3</f>
        <v>2572</v>
      </c>
      <c r="D23" s="528">
        <f>D8</f>
        <v>3000000</v>
      </c>
      <c r="E23" s="529">
        <f>IF($Q$13="Auto",'COM10'!C12,P15)</f>
        <v>0.16</v>
      </c>
      <c r="F23" s="207">
        <f>D23*E23</f>
        <v>480000</v>
      </c>
      <c r="G23" s="208"/>
      <c r="H23" s="208"/>
      <c r="I23" s="1303"/>
      <c r="J23" s="208"/>
      <c r="K23" s="208"/>
      <c r="L23" s="1300"/>
      <c r="M23" s="1301"/>
      <c r="N23" s="211"/>
    </row>
    <row r="24" spans="1:19" x14ac:dyDescent="0.15">
      <c r="A24" s="211"/>
      <c r="B24" s="1299"/>
      <c r="C24" s="527">
        <f>C8+2</f>
        <v>2571</v>
      </c>
      <c r="D24" s="528">
        <f>D8</f>
        <v>3000000</v>
      </c>
      <c r="E24" s="529">
        <f>IF($Q$13="Auto",'COM10'!C13,P17)</f>
        <v>0.1</v>
      </c>
      <c r="F24" s="207">
        <f>D24*E24</f>
        <v>300000</v>
      </c>
      <c r="G24" s="208"/>
      <c r="H24" s="208"/>
      <c r="I24" s="1303"/>
      <c r="J24" s="208"/>
      <c r="K24" s="208"/>
      <c r="L24" s="1300"/>
      <c r="M24" s="1301"/>
      <c r="N24" s="211"/>
    </row>
    <row r="25" spans="1:19" x14ac:dyDescent="0.15">
      <c r="A25" s="211"/>
      <c r="B25" s="1299"/>
      <c r="C25" s="527">
        <f>C8+1</f>
        <v>2570</v>
      </c>
      <c r="D25" s="528">
        <f>D8</f>
        <v>3000000</v>
      </c>
      <c r="E25" s="529">
        <f>IF($Q$13="Auto",'COM10'!C14,P18)</f>
        <v>0.05</v>
      </c>
      <c r="F25" s="207">
        <f>D25*E25</f>
        <v>150000</v>
      </c>
      <c r="G25" s="208"/>
      <c r="H25" s="208"/>
      <c r="I25" s="1303"/>
      <c r="J25" s="208"/>
      <c r="K25" s="208"/>
      <c r="L25" s="1300"/>
      <c r="M25" s="1301"/>
      <c r="N25" s="211"/>
    </row>
    <row r="26" spans="1:19" x14ac:dyDescent="0.15">
      <c r="A26" s="211"/>
      <c r="B26" s="1299"/>
      <c r="C26" s="530">
        <f>C8</f>
        <v>2569</v>
      </c>
      <c r="D26" s="531">
        <f>D8</f>
        <v>3000000</v>
      </c>
      <c r="E26" s="533">
        <f>IF($Q$13="Auto",'COM10'!C15,P19)</f>
        <v>0.05</v>
      </c>
      <c r="F26" s="205">
        <f>D26*E26</f>
        <v>150000</v>
      </c>
      <c r="G26" s="206"/>
      <c r="H26" s="206"/>
      <c r="I26" s="1304"/>
      <c r="J26" s="206"/>
      <c r="K26" s="206"/>
      <c r="L26" s="1300"/>
      <c r="M26" s="1301"/>
      <c r="N26" s="211"/>
      <c r="O26" s="211"/>
      <c r="P26" s="211"/>
      <c r="Q26" s="211"/>
      <c r="R26" s="211"/>
      <c r="S26" s="211"/>
    </row>
    <row r="27" spans="1:19" s="211" customFormat="1" ht="7.5" customHeight="1" x14ac:dyDescent="0.15">
      <c r="B27" s="1305"/>
      <c r="C27" s="1306"/>
      <c r="D27" s="1306"/>
      <c r="E27" s="1306"/>
      <c r="F27" s="1306"/>
      <c r="G27" s="1306"/>
      <c r="H27" s="1306"/>
      <c r="I27" s="1306"/>
      <c r="J27" s="1306"/>
      <c r="K27" s="1306"/>
      <c r="L27" s="1306"/>
      <c r="M27" s="1307"/>
      <c r="O27" s="100"/>
      <c r="P27" s="100"/>
      <c r="Q27" s="100"/>
      <c r="R27" s="100"/>
      <c r="S27" s="100"/>
    </row>
    <row r="28" spans="1:19" x14ac:dyDescent="0.15">
      <c r="A28" s="211"/>
      <c r="B28" s="1299" t="s">
        <v>20</v>
      </c>
      <c r="C28" s="1308"/>
      <c r="D28" s="1308"/>
      <c r="E28" s="1308"/>
      <c r="F28" s="521" t="s">
        <v>22</v>
      </c>
      <c r="G28" s="521" t="s">
        <v>166</v>
      </c>
      <c r="H28" s="521" t="s">
        <v>311</v>
      </c>
      <c r="I28" s="521" t="s">
        <v>163</v>
      </c>
      <c r="J28" s="521" t="s">
        <v>162</v>
      </c>
      <c r="K28" s="521" t="s">
        <v>167</v>
      </c>
      <c r="L28" s="1311" t="s">
        <v>18</v>
      </c>
      <c r="M28" s="1312"/>
      <c r="N28" s="211"/>
    </row>
    <row r="29" spans="1:19" ht="36" customHeight="1" x14ac:dyDescent="0.15">
      <c r="A29" s="211"/>
      <c r="B29" s="1299"/>
      <c r="C29" s="1308"/>
      <c r="D29" s="1308"/>
      <c r="E29" s="1308"/>
      <c r="F29" s="209">
        <f>SUM(F8:F26)</f>
        <v>9270000</v>
      </c>
      <c r="G29" s="209">
        <f>SUM(G8:G26)</f>
        <v>1575000</v>
      </c>
      <c r="H29" s="209">
        <f>SUM(H8:H26)</f>
        <v>1575000</v>
      </c>
      <c r="I29" s="209">
        <f>SUM(I8:I26)</f>
        <v>1231875</v>
      </c>
      <c r="J29" s="209">
        <f t="shared" ref="J29:K29" si="0">SUM(J8:J26)</f>
        <v>40000</v>
      </c>
      <c r="K29" s="209">
        <f t="shared" si="0"/>
        <v>225000</v>
      </c>
      <c r="L29" s="536">
        <f>SUM(F29:K29)</f>
        <v>13916875</v>
      </c>
      <c r="M29" s="210">
        <f>(M8+M10+M13+M17+M22)/5</f>
        <v>231947.91666666669</v>
      </c>
      <c r="N29" s="211"/>
    </row>
    <row r="30" spans="1:19" ht="18.600000000000001" customHeight="1" x14ac:dyDescent="0.15">
      <c r="A30" s="211"/>
      <c r="B30" s="1299" t="s">
        <v>21</v>
      </c>
      <c r="C30" s="1308"/>
      <c r="D30" s="1308"/>
      <c r="E30" s="1308"/>
      <c r="F30" s="1313">
        <f>F29/D8</f>
        <v>3.09</v>
      </c>
      <c r="G30" s="1313">
        <f>G29/D8</f>
        <v>0.52500000000000002</v>
      </c>
      <c r="H30" s="1313">
        <f>H29/D8</f>
        <v>0.52500000000000002</v>
      </c>
      <c r="I30" s="1313">
        <f>I29/D8</f>
        <v>0.41062500000000002</v>
      </c>
      <c r="J30" s="1313">
        <f>J29/D8</f>
        <v>1.3333333333333334E-2</v>
      </c>
      <c r="K30" s="1313">
        <f>K29/D8</f>
        <v>7.4999999999999997E-2</v>
      </c>
      <c r="L30" s="1315">
        <f>L29/D8</f>
        <v>4.6389583333333331</v>
      </c>
      <c r="M30" s="1317">
        <f>M29/D8</f>
        <v>7.7315972222222223E-2</v>
      </c>
      <c r="N30" s="211"/>
    </row>
    <row r="31" spans="1:19" ht="18.600000000000001" customHeight="1" thickBot="1" x14ac:dyDescent="0.2">
      <c r="A31" s="211"/>
      <c r="B31" s="1309"/>
      <c r="C31" s="1310"/>
      <c r="D31" s="1310"/>
      <c r="E31" s="1310"/>
      <c r="F31" s="1314"/>
      <c r="G31" s="1314"/>
      <c r="H31" s="1314"/>
      <c r="I31" s="1314"/>
      <c r="J31" s="1314"/>
      <c r="K31" s="1314"/>
      <c r="L31" s="1316"/>
      <c r="M31" s="1318"/>
      <c r="N31" s="211"/>
    </row>
    <row r="32" spans="1:19" ht="44.25" customHeight="1" x14ac:dyDescent="0.15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</row>
    <row r="33" spans="1:14" x14ac:dyDescent="0.15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9"/>
      <c r="M33" s="211"/>
      <c r="N33" s="211"/>
    </row>
    <row r="34" spans="1:14" ht="64.5" customHeight="1" x14ac:dyDescent="0.15"/>
    <row r="35" spans="1:14" ht="28.5" customHeight="1" x14ac:dyDescent="0.15"/>
    <row r="36" spans="1:14" ht="25.5" customHeight="1" x14ac:dyDescent="0.15"/>
    <row r="37" spans="1:14" ht="22.5" customHeight="1" x14ac:dyDescent="0.15"/>
    <row r="38" spans="1:14" ht="22.5" customHeight="1" x14ac:dyDescent="0.15"/>
    <row r="39" spans="1:14" ht="22.5" customHeight="1" x14ac:dyDescent="0.15"/>
    <row r="40" spans="1:14" ht="22.5" customHeight="1" x14ac:dyDescent="0.15"/>
    <row r="41" spans="1:14" ht="24" customHeight="1" x14ac:dyDescent="0.15"/>
    <row r="42" spans="1:14" ht="4.5" customHeight="1" x14ac:dyDescent="0.15"/>
    <row r="43" spans="1:14" ht="24" customHeight="1" x14ac:dyDescent="0.15"/>
    <row r="44" spans="1:14" ht="24" customHeight="1" x14ac:dyDescent="0.15"/>
    <row r="45" spans="1:14" ht="4.5" customHeight="1" x14ac:dyDescent="0.15"/>
    <row r="46" spans="1:14" ht="24" customHeight="1" x14ac:dyDescent="0.15"/>
    <row r="47" spans="1:14" ht="24" customHeight="1" x14ac:dyDescent="0.15"/>
    <row r="48" spans="1:14" ht="24" customHeight="1" x14ac:dyDescent="0.15"/>
    <row r="49" ht="4.5" customHeight="1" x14ac:dyDescent="0.15"/>
    <row r="50" ht="24" customHeight="1" x14ac:dyDescent="0.15"/>
    <row r="51" ht="24" customHeight="1" x14ac:dyDescent="0.15"/>
    <row r="52" ht="24" customHeight="1" x14ac:dyDescent="0.15"/>
    <row r="53" ht="24" customHeight="1" x14ac:dyDescent="0.15"/>
    <row r="54" ht="4.5" customHeight="1" x14ac:dyDescent="0.15"/>
    <row r="55" ht="24" customHeight="1" x14ac:dyDescent="0.15"/>
    <row r="56" ht="24" customHeight="1" x14ac:dyDescent="0.15"/>
    <row r="57" ht="24" customHeight="1" x14ac:dyDescent="0.15"/>
    <row r="58" ht="24" customHeight="1" x14ac:dyDescent="0.15"/>
    <row r="59" ht="24" customHeight="1" x14ac:dyDescent="0.15"/>
    <row r="60" ht="7.5" customHeight="1" x14ac:dyDescent="0.15"/>
    <row r="61" ht="22.5" customHeight="1" x14ac:dyDescent="0.15"/>
    <row r="62" ht="15.75" customHeight="1" x14ac:dyDescent="0.15"/>
    <row r="63" ht="22.5" customHeight="1" x14ac:dyDescent="0.15"/>
    <row r="64" ht="32.25" customHeight="1" x14ac:dyDescent="0.15"/>
    <row r="65" ht="44.25" customHeight="1" x14ac:dyDescent="0.15"/>
  </sheetData>
  <sheetProtection algorithmName="SHA-512" hashValue="ih8/d4bEUrC6vC5IeCRxgwK0wm9B5z2xL8gpXywLjqNhbhB8wisa3GNnwRsm65rJIo+KqXR1UcImAkBWHX5vQA==" saltValue="JQNoR/WPjbgPBYtkfyqjrA==" spinCount="100000" sheet="1" objects="1" scenarios="1" selectLockedCells="1"/>
  <customSheetViews>
    <customSheetView guid="{82B311FB-57F0-41B4-A7C3-5882014D86A1}" scale="70" showGridLines="0" fitToPage="1">
      <selection activeCell="Q6" sqref="Q6:Q7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79" orientation="landscape" r:id="rId1"/>
      <headerFooter alignWithMargins="0"/>
    </customSheetView>
    <customSheetView guid="{667EEF7A-262F-4932-80D5-D47443835FA2}" scale="80" showPageBreaks="1" showGridLines="0" printArea="1">
      <selection activeCell="D41" sqref="D41"/>
      <pageMargins left="0" right="0" top="0.19685039370078741" bottom="0" header="0.19685039370078741" footer="0"/>
      <printOptions horizontalCentered="1"/>
      <pageSetup paperSize="9" scale="85" orientation="landscape" r:id="rId2"/>
      <headerFooter alignWithMargins="0"/>
    </customSheetView>
    <customSheetView guid="{00AC2CC8-9B9F-4979-A039-643E7B67D066}" scale="80" showGridLines="0" fitToPage="1" topLeftCell="D1">
      <selection activeCell="P6" sqref="P6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73" orientation="landscape" r:id="rId3"/>
      <headerFooter alignWithMargins="0"/>
    </customSheetView>
  </customSheetViews>
  <mergeCells count="63">
    <mergeCell ref="L4:L7"/>
    <mergeCell ref="K2:K3"/>
    <mergeCell ref="M4:M7"/>
    <mergeCell ref="P6:P7"/>
    <mergeCell ref="I13:I15"/>
    <mergeCell ref="O10:O12"/>
    <mergeCell ref="P10:P12"/>
    <mergeCell ref="P2:Q3"/>
    <mergeCell ref="Q10:Q12"/>
    <mergeCell ref="O6:O7"/>
    <mergeCell ref="Q6:Q7"/>
    <mergeCell ref="P8:P9"/>
    <mergeCell ref="Q8:Q9"/>
    <mergeCell ref="O8:O9"/>
    <mergeCell ref="O2:O3"/>
    <mergeCell ref="F2:J3"/>
    <mergeCell ref="K4:K6"/>
    <mergeCell ref="B2:E3"/>
    <mergeCell ref="J4:J6"/>
    <mergeCell ref="D4:F5"/>
    <mergeCell ref="B4:B7"/>
    <mergeCell ref="C4:C7"/>
    <mergeCell ref="D6:D7"/>
    <mergeCell ref="E6:E7"/>
    <mergeCell ref="F6:F7"/>
    <mergeCell ref="G4:H5"/>
    <mergeCell ref="I4:I7"/>
    <mergeCell ref="B27:M27"/>
    <mergeCell ref="B28:E29"/>
    <mergeCell ref="B30:E31"/>
    <mergeCell ref="L28:M28"/>
    <mergeCell ref="F30:F31"/>
    <mergeCell ref="K30:K31"/>
    <mergeCell ref="L30:L31"/>
    <mergeCell ref="M30:M31"/>
    <mergeCell ref="G30:G31"/>
    <mergeCell ref="H30:H31"/>
    <mergeCell ref="I30:I31"/>
    <mergeCell ref="J30:J31"/>
    <mergeCell ref="B17:B20"/>
    <mergeCell ref="L17:L20"/>
    <mergeCell ref="M17:M20"/>
    <mergeCell ref="B22:B26"/>
    <mergeCell ref="L22:L26"/>
    <mergeCell ref="M22:M26"/>
    <mergeCell ref="I22:I26"/>
    <mergeCell ref="I17:I20"/>
    <mergeCell ref="B10:B11"/>
    <mergeCell ref="L10:L11"/>
    <mergeCell ref="M10:M11"/>
    <mergeCell ref="B13:B15"/>
    <mergeCell ref="L13:L15"/>
    <mergeCell ref="M13:M15"/>
    <mergeCell ref="S2:S3"/>
    <mergeCell ref="O13:O14"/>
    <mergeCell ref="P13:P14"/>
    <mergeCell ref="O15:O16"/>
    <mergeCell ref="P15:P16"/>
    <mergeCell ref="Q13:Q19"/>
    <mergeCell ref="O4:O5"/>
    <mergeCell ref="P4:Q5"/>
    <mergeCell ref="R6:R7"/>
    <mergeCell ref="R2:R3"/>
  </mergeCells>
  <phoneticPr fontId="3" type="noConversion"/>
  <dataValidations count="1">
    <dataValidation type="list" allowBlank="1" showInputMessage="1" showErrorMessage="1" sqref="Q8 Q10 Q6 Q13" xr:uid="{F1A55656-51DE-4D66-9245-5F136B922FE6}">
      <formula1>"Auto,Manual"</formula1>
    </dataValidation>
  </dataValidation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79" orientation="landscape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4933" r:id="rId7" name="Spinner 5">
              <controlPr defaultSize="0" autoPict="0">
                <anchor moveWithCells="1" sizeWithCells="1">
                  <from>
                    <xdr:col>2</xdr:col>
                    <xdr:colOff>15240</xdr:colOff>
                    <xdr:row>5</xdr:row>
                    <xdr:rowOff>220980</xdr:rowOff>
                  </from>
                  <to>
                    <xdr:col>2</xdr:col>
                    <xdr:colOff>845820</xdr:colOff>
                    <xdr:row>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38" r:id="rId8" name="Spinner 10">
              <controlPr defaultSize="0" autoPict="0">
                <anchor moveWithCells="1" sizeWithCells="1">
                  <from>
                    <xdr:col>17</xdr:col>
                    <xdr:colOff>22860</xdr:colOff>
                    <xdr:row>5</xdr:row>
                    <xdr:rowOff>7620</xdr:rowOff>
                  </from>
                  <to>
                    <xdr:col>18</xdr:col>
                    <xdr:colOff>0</xdr:colOff>
                    <xdr:row>6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43" r:id="rId9" name="Spinner 15">
              <controlPr defaultSize="0" autoPict="0">
                <anchor moveWithCells="1" sizeWithCells="1">
                  <from>
                    <xdr:col>17</xdr:col>
                    <xdr:colOff>15240</xdr:colOff>
                    <xdr:row>1</xdr:row>
                    <xdr:rowOff>15240</xdr:rowOff>
                  </from>
                  <to>
                    <xdr:col>18</xdr:col>
                    <xdr:colOff>0</xdr:colOff>
                    <xdr:row>2</xdr:row>
                    <xdr:rowOff>335280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C247-9869-4254-96DC-2621EEDB603B}">
  <sheetPr codeName="Sheet15">
    <tabColor rgb="FF0070C0"/>
    <pageSetUpPr fitToPage="1"/>
  </sheetPr>
  <dimension ref="A1:T55"/>
  <sheetViews>
    <sheetView showGridLines="0" zoomScale="70" zoomScaleNormal="70" workbookViewId="0">
      <selection activeCell="P6" sqref="P6:P7"/>
    </sheetView>
  </sheetViews>
  <sheetFormatPr defaultColWidth="9.16796875" defaultRowHeight="32.25" x14ac:dyDescent="0.15"/>
  <cols>
    <col min="1" max="1" width="4.44921875" style="100" customWidth="1"/>
    <col min="2" max="2" width="6.60546875" style="100" customWidth="1"/>
    <col min="3" max="3" width="12.67578125" style="100" customWidth="1"/>
    <col min="4" max="4" width="16.98828125" style="100" customWidth="1"/>
    <col min="5" max="5" width="12" style="100" bestFit="1" customWidth="1"/>
    <col min="6" max="7" width="17.125" style="100" customWidth="1"/>
    <col min="8" max="8" width="16.5859375" style="100" customWidth="1"/>
    <col min="9" max="9" width="17.125" style="100" customWidth="1"/>
    <col min="10" max="10" width="14.15625" style="100" customWidth="1"/>
    <col min="11" max="12" width="17.125" style="100" customWidth="1"/>
    <col min="13" max="13" width="16.98828125" style="100" customWidth="1"/>
    <col min="14" max="14" width="10.65234375" style="100" customWidth="1"/>
    <col min="15" max="15" width="22.7890625" style="170" bestFit="1" customWidth="1"/>
    <col min="16" max="16" width="42.07421875" style="170" customWidth="1"/>
    <col min="17" max="18" width="15.640625" style="100" customWidth="1"/>
    <col min="19" max="19" width="15.91015625" style="100" customWidth="1"/>
    <col min="20" max="16384" width="9.16796875" style="100"/>
  </cols>
  <sheetData>
    <row r="1" spans="1:20" ht="31.5" customHeight="1" thickBot="1" x14ac:dyDescent="0.2">
      <c r="A1" s="211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20" ht="48" customHeight="1" x14ac:dyDescent="0.15">
      <c r="A2" s="211"/>
      <c r="B2" s="1320"/>
      <c r="C2" s="1321"/>
      <c r="D2" s="1321"/>
      <c r="E2" s="1321"/>
      <c r="F2" s="1357" t="s">
        <v>10</v>
      </c>
      <c r="G2" s="1357"/>
      <c r="H2" s="1357"/>
      <c r="I2" s="1357"/>
      <c r="J2" s="1357"/>
      <c r="K2" s="794"/>
      <c r="L2" s="799" t="s">
        <v>361</v>
      </c>
      <c r="M2" s="796" t="s">
        <v>274</v>
      </c>
      <c r="N2" s="211"/>
      <c r="O2" s="364" t="s">
        <v>179</v>
      </c>
      <c r="P2" s="888" t="str">
        <f>COM!$B$1</f>
        <v>สุพรีม ไลฟ์  โพรเทคเตอร์ A90/20</v>
      </c>
      <c r="Q2" s="888"/>
      <c r="R2" s="605"/>
      <c r="S2" s="179" t="str">
        <f>COM!E1</f>
        <v>20SLPA</v>
      </c>
    </row>
    <row r="3" spans="1:20" ht="48" customHeight="1" x14ac:dyDescent="0.15">
      <c r="A3" s="211"/>
      <c r="B3" s="1322"/>
      <c r="C3" s="1323"/>
      <c r="D3" s="1323"/>
      <c r="E3" s="1323"/>
      <c r="F3" s="1358"/>
      <c r="G3" s="1358"/>
      <c r="H3" s="1358"/>
      <c r="I3" s="1358"/>
      <c r="J3" s="1358"/>
      <c r="K3" s="795"/>
      <c r="L3" s="797">
        <f>P3</f>
        <v>0.75</v>
      </c>
      <c r="M3" s="798">
        <f>IF($Q$4="Auto",'COM10'!K3,P4)</f>
        <v>0.75</v>
      </c>
      <c r="N3" s="211"/>
      <c r="O3" s="364" t="s">
        <v>361</v>
      </c>
      <c r="P3" s="1363">
        <f>COM!F1</f>
        <v>0.75</v>
      </c>
      <c r="Q3" s="1364"/>
    </row>
    <row r="4" spans="1:20" ht="24" customHeight="1" x14ac:dyDescent="0.15">
      <c r="A4" s="211"/>
      <c r="B4" s="1333" t="s">
        <v>12</v>
      </c>
      <c r="C4" s="1336" t="s">
        <v>13</v>
      </c>
      <c r="D4" s="1327" t="str">
        <f>P2</f>
        <v>สุพรีม ไลฟ์  โพรเทคเตอร์ A90/20</v>
      </c>
      <c r="E4" s="1328"/>
      <c r="F4" s="1329"/>
      <c r="G4" s="1341" t="s">
        <v>17</v>
      </c>
      <c r="H4" s="1341"/>
      <c r="I4" s="1319" t="s">
        <v>165</v>
      </c>
      <c r="J4" s="1324" t="s">
        <v>289</v>
      </c>
      <c r="K4" s="1319" t="s">
        <v>290</v>
      </c>
      <c r="L4" s="1339" t="s">
        <v>18</v>
      </c>
      <c r="M4" s="1359" t="s">
        <v>19</v>
      </c>
      <c r="N4" s="211"/>
      <c r="O4" s="887" t="s">
        <v>274</v>
      </c>
      <c r="P4" s="1366">
        <v>0.75</v>
      </c>
      <c r="Q4" s="1355" t="s">
        <v>182</v>
      </c>
      <c r="R4" s="1362"/>
    </row>
    <row r="5" spans="1:20" ht="24" customHeight="1" x14ac:dyDescent="0.15">
      <c r="A5" s="211"/>
      <c r="B5" s="1334"/>
      <c r="C5" s="1337"/>
      <c r="D5" s="1330"/>
      <c r="E5" s="1331"/>
      <c r="F5" s="1332"/>
      <c r="G5" s="1341"/>
      <c r="H5" s="1341"/>
      <c r="I5" s="1341"/>
      <c r="J5" s="1325"/>
      <c r="K5" s="1319"/>
      <c r="L5" s="1342"/>
      <c r="M5" s="1345"/>
      <c r="N5" s="211"/>
      <c r="O5" s="887"/>
      <c r="P5" s="1366"/>
      <c r="Q5" s="1355"/>
      <c r="R5" s="1362"/>
    </row>
    <row r="6" spans="1:20" ht="42" customHeight="1" x14ac:dyDescent="0.15">
      <c r="A6" s="211"/>
      <c r="B6" s="1334"/>
      <c r="C6" s="1337"/>
      <c r="D6" s="1339" t="s">
        <v>14</v>
      </c>
      <c r="E6" s="1339" t="s">
        <v>15</v>
      </c>
      <c r="F6" s="1339" t="s">
        <v>16</v>
      </c>
      <c r="G6" s="541" t="s">
        <v>152</v>
      </c>
      <c r="H6" s="541" t="s">
        <v>242</v>
      </c>
      <c r="I6" s="1341"/>
      <c r="J6" s="1326"/>
      <c r="K6" s="1319"/>
      <c r="L6" s="1342"/>
      <c r="M6" s="1345"/>
      <c r="N6" s="211"/>
      <c r="O6" s="887" t="s">
        <v>23</v>
      </c>
      <c r="P6" s="1356">
        <v>15000000</v>
      </c>
      <c r="Q6" s="1355" t="s">
        <v>182</v>
      </c>
    </row>
    <row r="7" spans="1:20" ht="32.450000000000003" customHeight="1" x14ac:dyDescent="0.15">
      <c r="A7" s="211"/>
      <c r="B7" s="1335"/>
      <c r="C7" s="1338"/>
      <c r="D7" s="1340"/>
      <c r="E7" s="1340"/>
      <c r="F7" s="1340"/>
      <c r="G7" s="218" t="str">
        <f>IF($M$3&lt;70%,0,
IF($F$8*$P$3/12&gt;64000,"35%",
IF(AND($F$8*$P$3/12&gt;32000,$F$8*$P$3/12&lt;=64000),"30%",
IF(AND($F$8*$P$3/12&gt;16000,$F$8*$P$3/12&lt;=32000),"25%",
IF(AND($F$8*$P$3/12&gt;8000,$F$8*$P$3/12&lt;=16000),"20%",
0)))))</f>
        <v>35%</v>
      </c>
      <c r="H7" s="218">
        <f>IF($F$8*$P$3/2&gt;400000,"35%",
IF(AND($F$8*$P$3/2&gt;300000,$F$8*$P$3/2&lt;=400000),"32.5%",
IF(AND($F$8*$P$3/2&gt;250000,$F$8*$P$3/2&lt;=300000),"30%",
IF(AND($F$8*$P$3/2&gt;200000,$F$8*$P$3/2&lt;=250000),"27.5%",
IF(AND($F$8*$P$3/2&gt;150000,$F$8*$P$3/2&lt;=200000),"25%",
IF(AND($F$8*$P$3/2&gt;100000,$F$8*$P$3/2&lt;=150000),"22.5%",
IF(AND($F$8*$P$3/2&gt;60000,$F$8*$P$3/2&lt;=100000),"20%",
IF(AND($F$8*$P$3/2&gt;40000,$F$8*$P$3/2&lt;=60000),"17.5%",
1))))))))*(IF($M$3&lt;70%,0%,IF(AND($M$3&gt;=70%,$M$3&lt;85%),100%,IF($M$3&gt;=85%,110%,))))</f>
        <v>0.35</v>
      </c>
      <c r="I7" s="1341"/>
      <c r="J7" s="534" t="str">
        <f>IF(Q8="Auto",Life!$E$10,IF(Q8="Manual",P8,0))*3&amp;" ราย/3ด."</f>
        <v>120 ราย/3ด.</v>
      </c>
      <c r="K7" s="218">
        <v>0.05</v>
      </c>
      <c r="L7" s="1340"/>
      <c r="M7" s="1346"/>
      <c r="N7" s="211"/>
      <c r="O7" s="887"/>
      <c r="P7" s="1356"/>
      <c r="Q7" s="1355"/>
    </row>
    <row r="8" spans="1:20" ht="60" customHeight="1" x14ac:dyDescent="0.15">
      <c r="A8" s="211"/>
      <c r="B8" s="520">
        <v>1</v>
      </c>
      <c r="C8" s="537">
        <f>TIME!D5</f>
        <v>2569</v>
      </c>
      <c r="D8" s="522">
        <f>IF(Q6="Auto",'COM10'!C3,IF(Q6="Manual",P6,0))</f>
        <v>48000000</v>
      </c>
      <c r="E8" s="523">
        <f>IF($Q$10="Auto",'COM10'!C11,P10)</f>
        <v>0.4</v>
      </c>
      <c r="F8" s="538">
        <f>D8*E8</f>
        <v>19200000</v>
      </c>
      <c r="G8" s="538">
        <f>F8*$P$3*$G$7</f>
        <v>5040000</v>
      </c>
      <c r="H8" s="538">
        <f>IF($F$8*$P$3/2&gt;400000,"35%",
IF(AND($F$8*$P$3/2&gt;300000,$F$8*$P$3/2&lt;=400000),"32.5%",
IF(AND($F$8*$P$3/2&gt;250000,$F$8*$P$3/2&lt;=300000),"30%",
IF(AND($F$8*$P$3/2&gt;200000,$F$8*$P$3/2&lt;=250000),"27.5%",
IF(AND($F$8*$P$3/2&gt;150000,$F$8*$P$3/2&lt;=200000),"25%",
IF(AND($F$8*$P$3/2&gt;100000,$F$8*$P$3/2&lt;=150000),"22.5%",
IF(AND($F$8*$P$3/2&gt;60000,$F$8*$P$3/2&lt;=100000),"20%",
IF(AND($F$8*$P$3/2&gt;40000,$F$8*$P$3/2&lt;=60000),"17.5%",
1))))))))*$F8*$P$3</f>
        <v>5040000</v>
      </c>
      <c r="I8" s="538"/>
      <c r="J8" s="538">
        <f>IF($Q$8="Auto",(IF(AND(Life!$E$10*3&gt;=5,F8*$P$3/4&gt;=50000),15000,IF(AND(Life!$E$10*3&gt;=3,F8*$P$3/4&gt;=20000),6000,0))+IF(AND(Life!$E$10*3&gt;=10,F8*$P$3/4&gt;=100000),25000,IF(AND(Life!$E$10*3&gt;=5,F8*$P$3/4&gt;=40000),10000,0))),
(IF(AND(P8*3&gt;=5,F8*$P$3/4&gt;=50000),15000,IF(AND(P8*3&gt;=3,F8*$P$3/4&gt;=20000),6000,0))+IF(AND(P8*3&gt;=10,F8*$P$3/4&gt;=100000),25000,IF(AND(P8*3&gt;=5,F8*$P$3/4&gt;=40000),10000,0))))</f>
        <v>40000</v>
      </c>
      <c r="K8" s="538">
        <f>F8*$P$3*$K$7</f>
        <v>720000</v>
      </c>
      <c r="L8" s="535">
        <f>SUM(F8:K8)</f>
        <v>30040000</v>
      </c>
      <c r="M8" s="204">
        <f>L8/12</f>
        <v>2503333.3333333335</v>
      </c>
      <c r="N8" s="211"/>
      <c r="O8" s="1349" t="s">
        <v>286</v>
      </c>
      <c r="P8" s="1350">
        <v>2</v>
      </c>
      <c r="Q8" s="1355" t="s">
        <v>182</v>
      </c>
    </row>
    <row r="9" spans="1:20" s="211" customFormat="1" ht="7.15" customHeight="1" x14ac:dyDescent="0.15">
      <c r="B9" s="220"/>
      <c r="C9" s="212"/>
      <c r="D9" s="212"/>
      <c r="E9" s="213"/>
      <c r="F9" s="214"/>
      <c r="G9" s="214"/>
      <c r="H9" s="214"/>
      <c r="I9" s="214"/>
      <c r="J9" s="214"/>
      <c r="K9" s="214"/>
      <c r="L9" s="215"/>
      <c r="M9" s="216"/>
      <c r="O9" s="1349"/>
      <c r="P9" s="1350"/>
      <c r="Q9" s="1355"/>
      <c r="S9" s="100"/>
      <c r="T9" s="100"/>
    </row>
    <row r="10" spans="1:20" ht="60" customHeight="1" x14ac:dyDescent="0.15">
      <c r="A10" s="211"/>
      <c r="B10" s="520">
        <v>2</v>
      </c>
      <c r="C10" s="524">
        <f>C8+1</f>
        <v>2570</v>
      </c>
      <c r="D10" s="525">
        <f>D8</f>
        <v>48000000</v>
      </c>
      <c r="E10" s="526">
        <f>IF($Q$10="Auto",'COM10'!C12,P11)</f>
        <v>0.16</v>
      </c>
      <c r="F10" s="539">
        <f>D10*$P$3*E10</f>
        <v>5760000</v>
      </c>
      <c r="G10" s="539"/>
      <c r="H10" s="539"/>
      <c r="I10" s="539"/>
      <c r="J10" s="539"/>
      <c r="K10" s="539"/>
      <c r="L10" s="535">
        <f>SUM(F10:K10)</f>
        <v>5760000</v>
      </c>
      <c r="M10" s="204">
        <f>L10/12</f>
        <v>480000</v>
      </c>
      <c r="N10" s="211"/>
      <c r="O10" s="364" t="s">
        <v>151</v>
      </c>
      <c r="P10" s="607">
        <v>0.3</v>
      </c>
      <c r="Q10" s="1355" t="s">
        <v>182</v>
      </c>
      <c r="S10" s="211"/>
      <c r="T10" s="211"/>
    </row>
    <row r="11" spans="1:20" s="211" customFormat="1" ht="7.15" customHeight="1" x14ac:dyDescent="0.15">
      <c r="B11" s="221"/>
      <c r="C11" s="217"/>
      <c r="D11" s="217"/>
      <c r="E11" s="213"/>
      <c r="F11" s="214"/>
      <c r="G11" s="214"/>
      <c r="H11" s="214"/>
      <c r="I11" s="214"/>
      <c r="J11" s="214"/>
      <c r="K11" s="214"/>
      <c r="L11" s="215"/>
      <c r="M11" s="216"/>
      <c r="O11" s="887" t="s">
        <v>57</v>
      </c>
      <c r="P11" s="1365">
        <v>0.15</v>
      </c>
      <c r="Q11" s="1355"/>
      <c r="S11" s="100"/>
      <c r="T11" s="100"/>
    </row>
    <row r="12" spans="1:20" ht="60" customHeight="1" x14ac:dyDescent="0.15">
      <c r="A12" s="211"/>
      <c r="B12" s="520">
        <v>3</v>
      </c>
      <c r="C12" s="524">
        <f>C8+2</f>
        <v>2571</v>
      </c>
      <c r="D12" s="525">
        <f>D8</f>
        <v>48000000</v>
      </c>
      <c r="E12" s="526">
        <f>IF($Q$10="Auto",'COM10'!C13,P13)</f>
        <v>0.1</v>
      </c>
      <c r="F12" s="539">
        <f>D12*$P$3*E12</f>
        <v>3600000</v>
      </c>
      <c r="G12" s="539"/>
      <c r="H12" s="539"/>
      <c r="I12" s="539">
        <f>IF(AND($F$8*$P$3&gt;=200000,$M$3&gt;=85%),F10*$M$3*$L$3*110%,IF(AND($F$8*$P$3&gt;=100000,$M$3&gt;=75%),F10*$M$3*$L$3*100%,0))</f>
        <v>3240000</v>
      </c>
      <c r="J12" s="539"/>
      <c r="K12" s="539"/>
      <c r="L12" s="535">
        <f>SUM(F12:K12)</f>
        <v>6840000</v>
      </c>
      <c r="M12" s="204">
        <f>L12/12</f>
        <v>570000</v>
      </c>
      <c r="N12" s="211"/>
      <c r="O12" s="887"/>
      <c r="P12" s="1365"/>
      <c r="Q12" s="1355"/>
      <c r="S12" s="211"/>
      <c r="T12" s="211"/>
    </row>
    <row r="13" spans="1:20" s="211" customFormat="1" ht="7.15" customHeight="1" x14ac:dyDescent="0.15">
      <c r="B13" s="221"/>
      <c r="C13" s="217"/>
      <c r="D13" s="217"/>
      <c r="E13" s="213"/>
      <c r="F13" s="214"/>
      <c r="G13" s="214"/>
      <c r="H13" s="214"/>
      <c r="I13" s="214"/>
      <c r="J13" s="214"/>
      <c r="K13" s="214"/>
      <c r="L13" s="215"/>
      <c r="M13" s="216"/>
      <c r="O13" s="887" t="s">
        <v>58</v>
      </c>
      <c r="P13" s="1365">
        <v>0.1</v>
      </c>
      <c r="Q13" s="1355"/>
      <c r="S13" s="100"/>
      <c r="T13" s="100"/>
    </row>
    <row r="14" spans="1:20" ht="60" customHeight="1" x14ac:dyDescent="0.15">
      <c r="A14" s="211"/>
      <c r="B14" s="520">
        <v>4</v>
      </c>
      <c r="C14" s="524">
        <f>C8+3</f>
        <v>2572</v>
      </c>
      <c r="D14" s="525">
        <f>D8</f>
        <v>48000000</v>
      </c>
      <c r="E14" s="526">
        <f>IF($Q$10="Auto",'COM10'!C14,P15)</f>
        <v>0.05</v>
      </c>
      <c r="F14" s="539">
        <f>D14*$P$3*E14</f>
        <v>1800000</v>
      </c>
      <c r="G14" s="539"/>
      <c r="H14" s="539"/>
      <c r="I14" s="539">
        <f>IF(AND($F$8*$P$3&gt;=200000,$M$3&gt;=85%),F12*$M$3*$L$3*110%,IF(AND($F$8*$P$3&gt;=100000,$M$3&gt;=75%),F12*$M$3*$L$3*100%,0))</f>
        <v>2025000</v>
      </c>
      <c r="J14" s="539"/>
      <c r="K14" s="539"/>
      <c r="L14" s="535">
        <f>SUM(F14:K14)</f>
        <v>3825000</v>
      </c>
      <c r="M14" s="204">
        <f>L14/12</f>
        <v>318750</v>
      </c>
      <c r="N14" s="211"/>
      <c r="O14" s="887"/>
      <c r="P14" s="1365"/>
      <c r="Q14" s="1355"/>
      <c r="S14" s="211"/>
      <c r="T14" s="211"/>
    </row>
    <row r="15" spans="1:20" s="211" customFormat="1" ht="7.15" customHeight="1" x14ac:dyDescent="0.15">
      <c r="B15" s="221"/>
      <c r="C15" s="217"/>
      <c r="D15" s="217"/>
      <c r="E15" s="213"/>
      <c r="F15" s="214"/>
      <c r="G15" s="214"/>
      <c r="H15" s="214"/>
      <c r="I15" s="214"/>
      <c r="J15" s="214"/>
      <c r="K15" s="214"/>
      <c r="L15" s="215"/>
      <c r="M15" s="216"/>
      <c r="O15" s="887" t="s">
        <v>59</v>
      </c>
      <c r="P15" s="1365">
        <v>0.05</v>
      </c>
      <c r="Q15" s="1355"/>
      <c r="S15" s="100"/>
      <c r="T15" s="100"/>
    </row>
    <row r="16" spans="1:20" ht="60" customHeight="1" x14ac:dyDescent="0.15">
      <c r="A16" s="211"/>
      <c r="B16" s="520">
        <v>5</v>
      </c>
      <c r="C16" s="524">
        <f>C8+4</f>
        <v>2573</v>
      </c>
      <c r="D16" s="525">
        <f>D8</f>
        <v>48000000</v>
      </c>
      <c r="E16" s="526">
        <f>IF($Q$10="Auto",'COM10'!C15,P17)</f>
        <v>0.05</v>
      </c>
      <c r="F16" s="539">
        <f>D16*$P$3*E16</f>
        <v>1800000</v>
      </c>
      <c r="G16" s="539"/>
      <c r="H16" s="539"/>
      <c r="I16" s="539">
        <f>IF(AND($F$8*$P$3&gt;=200000,$M$3&gt;=85%),F14*$M$3*$L$3*110%,IF(AND($F$8*$P$3&gt;=100000,$M$3&gt;=75%),F14*$M$3*$L$3*100%,0))</f>
        <v>1012500</v>
      </c>
      <c r="J16" s="539"/>
      <c r="K16" s="539"/>
      <c r="L16" s="535">
        <f>SUM(F16:K16)</f>
        <v>2812500</v>
      </c>
      <c r="M16" s="204">
        <f>L16/12</f>
        <v>234375</v>
      </c>
      <c r="N16" s="211"/>
      <c r="O16" s="887"/>
      <c r="P16" s="1365"/>
      <c r="Q16" s="1355"/>
      <c r="S16" s="211"/>
      <c r="T16" s="211"/>
    </row>
    <row r="17" spans="1:20" s="211" customFormat="1" ht="7.15" customHeight="1" x14ac:dyDescent="0.15">
      <c r="B17" s="1305"/>
      <c r="C17" s="1306"/>
      <c r="D17" s="1306"/>
      <c r="E17" s="1306"/>
      <c r="F17" s="1306"/>
      <c r="G17" s="1306"/>
      <c r="H17" s="1306"/>
      <c r="I17" s="1306"/>
      <c r="J17" s="1306"/>
      <c r="K17" s="1306"/>
      <c r="L17" s="1306"/>
      <c r="M17" s="1307"/>
      <c r="O17" s="887" t="s">
        <v>60</v>
      </c>
      <c r="P17" s="1365">
        <v>0.05</v>
      </c>
      <c r="Q17" s="1355"/>
      <c r="S17" s="100"/>
      <c r="T17" s="100"/>
    </row>
    <row r="18" spans="1:20" ht="39.6" customHeight="1" x14ac:dyDescent="0.15">
      <c r="A18" s="211"/>
      <c r="B18" s="1299" t="s">
        <v>20</v>
      </c>
      <c r="C18" s="1308"/>
      <c r="D18" s="1308"/>
      <c r="E18" s="1308"/>
      <c r="F18" s="540" t="s">
        <v>22</v>
      </c>
      <c r="G18" s="540" t="s">
        <v>166</v>
      </c>
      <c r="H18" s="540" t="s">
        <v>311</v>
      </c>
      <c r="I18" s="540" t="s">
        <v>163</v>
      </c>
      <c r="J18" s="540" t="s">
        <v>162</v>
      </c>
      <c r="K18" s="540" t="s">
        <v>167</v>
      </c>
      <c r="L18" s="1360" t="s">
        <v>18</v>
      </c>
      <c r="M18" s="1361"/>
      <c r="N18" s="211"/>
      <c r="O18" s="887"/>
      <c r="P18" s="1365"/>
      <c r="Q18" s="1355"/>
      <c r="S18" s="211"/>
      <c r="T18" s="211"/>
    </row>
    <row r="19" spans="1:20" ht="60" customHeight="1" x14ac:dyDescent="0.15">
      <c r="A19" s="211"/>
      <c r="B19" s="1299"/>
      <c r="C19" s="1308"/>
      <c r="D19" s="1308"/>
      <c r="E19" s="1308"/>
      <c r="F19" s="209">
        <f t="shared" ref="F19:K19" si="0">SUM(F8:F16)</f>
        <v>32160000</v>
      </c>
      <c r="G19" s="209">
        <f t="shared" si="0"/>
        <v>5040000</v>
      </c>
      <c r="H19" s="209">
        <f t="shared" si="0"/>
        <v>5040000</v>
      </c>
      <c r="I19" s="209">
        <f t="shared" si="0"/>
        <v>6277500</v>
      </c>
      <c r="J19" s="209">
        <f t="shared" si="0"/>
        <v>40000</v>
      </c>
      <c r="K19" s="209">
        <f t="shared" si="0"/>
        <v>720000</v>
      </c>
      <c r="L19" s="536">
        <f>SUM(F19:K19)</f>
        <v>49277500</v>
      </c>
      <c r="M19" s="210">
        <f>(M8+M10+M12+M14+M16)/5</f>
        <v>821291.66666666674</v>
      </c>
      <c r="N19" s="211"/>
    </row>
    <row r="20" spans="1:20" ht="42" customHeight="1" x14ac:dyDescent="0.15">
      <c r="A20" s="211"/>
      <c r="B20" s="1299" t="s">
        <v>21</v>
      </c>
      <c r="C20" s="1308"/>
      <c r="D20" s="1308"/>
      <c r="E20" s="1308"/>
      <c r="F20" s="1313">
        <f>F19/D8</f>
        <v>0.67</v>
      </c>
      <c r="G20" s="1313">
        <f>G19/D8</f>
        <v>0.105</v>
      </c>
      <c r="H20" s="1313">
        <f>H19/D8</f>
        <v>0.105</v>
      </c>
      <c r="I20" s="1313">
        <f>I19/D8</f>
        <v>0.13078124999999999</v>
      </c>
      <c r="J20" s="1313">
        <f>J19/D8</f>
        <v>8.3333333333333339E-4</v>
      </c>
      <c r="K20" s="1313">
        <f>K19/D8</f>
        <v>1.4999999999999999E-2</v>
      </c>
      <c r="L20" s="1315">
        <f>L19/D8</f>
        <v>1.0266145833333333</v>
      </c>
      <c r="M20" s="1317">
        <f>M19/D8</f>
        <v>1.7110243055555557E-2</v>
      </c>
      <c r="N20" s="211"/>
      <c r="O20" s="604"/>
    </row>
    <row r="21" spans="1:20" ht="42" customHeight="1" thickBot="1" x14ac:dyDescent="0.2">
      <c r="A21" s="211"/>
      <c r="B21" s="1309"/>
      <c r="C21" s="1310"/>
      <c r="D21" s="1310"/>
      <c r="E21" s="1310"/>
      <c r="F21" s="1314"/>
      <c r="G21" s="1314"/>
      <c r="H21" s="1314"/>
      <c r="I21" s="1314"/>
      <c r="J21" s="1314"/>
      <c r="K21" s="1314"/>
      <c r="L21" s="1316"/>
      <c r="M21" s="1318"/>
      <c r="N21" s="211"/>
    </row>
    <row r="22" spans="1:20" ht="44.25" customHeight="1" x14ac:dyDescent="0.15">
      <c r="A22" s="211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</row>
    <row r="23" spans="1:20" x14ac:dyDescent="0.15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9"/>
      <c r="M23" s="211"/>
      <c r="N23" s="211"/>
    </row>
    <row r="24" spans="1:20" ht="64.5" customHeight="1" x14ac:dyDescent="0.15"/>
    <row r="25" spans="1:20" ht="28.5" customHeight="1" x14ac:dyDescent="0.15"/>
    <row r="26" spans="1:20" ht="25.5" customHeight="1" x14ac:dyDescent="0.15"/>
    <row r="27" spans="1:20" ht="22.5" customHeight="1" x14ac:dyDescent="0.15"/>
    <row r="28" spans="1:20" ht="22.5" customHeight="1" x14ac:dyDescent="0.15"/>
    <row r="29" spans="1:20" ht="22.5" customHeight="1" x14ac:dyDescent="0.15"/>
    <row r="30" spans="1:20" ht="22.5" customHeight="1" x14ac:dyDescent="0.15"/>
    <row r="31" spans="1:20" ht="24" customHeight="1" x14ac:dyDescent="0.15"/>
    <row r="32" spans="1:20" ht="4.5" customHeight="1" x14ac:dyDescent="0.15"/>
    <row r="33" ht="24" customHeight="1" x14ac:dyDescent="0.15"/>
    <row r="34" ht="24" customHeight="1" x14ac:dyDescent="0.15"/>
    <row r="35" ht="4.5" customHeight="1" x14ac:dyDescent="0.15"/>
    <row r="36" ht="24" customHeight="1" x14ac:dyDescent="0.15"/>
    <row r="37" ht="24" customHeight="1" x14ac:dyDescent="0.15"/>
    <row r="38" ht="24" customHeight="1" x14ac:dyDescent="0.15"/>
    <row r="39" ht="4.5" customHeight="1" x14ac:dyDescent="0.15"/>
    <row r="40" ht="24" customHeight="1" x14ac:dyDescent="0.15"/>
    <row r="41" ht="24" customHeight="1" x14ac:dyDescent="0.15"/>
    <row r="42" ht="24" customHeight="1" x14ac:dyDescent="0.15"/>
    <row r="43" ht="24" customHeight="1" x14ac:dyDescent="0.15"/>
    <row r="44" ht="4.5" customHeight="1" x14ac:dyDescent="0.15"/>
    <row r="45" ht="24" customHeight="1" x14ac:dyDescent="0.15"/>
    <row r="46" ht="24" customHeight="1" x14ac:dyDescent="0.15"/>
    <row r="47" ht="24" customHeight="1" x14ac:dyDescent="0.15"/>
    <row r="48" ht="24" customHeight="1" x14ac:dyDescent="0.15"/>
    <row r="49" ht="24" customHeight="1" x14ac:dyDescent="0.15"/>
    <row r="50" ht="7.5" customHeight="1" x14ac:dyDescent="0.15"/>
    <row r="51" ht="22.5" customHeight="1" x14ac:dyDescent="0.15"/>
    <row r="52" ht="15.75" customHeight="1" x14ac:dyDescent="0.15"/>
    <row r="53" ht="22.5" customHeight="1" x14ac:dyDescent="0.15"/>
    <row r="54" ht="32.25" customHeight="1" x14ac:dyDescent="0.15"/>
    <row r="55" ht="44.25" customHeight="1" x14ac:dyDescent="0.15"/>
  </sheetData>
  <sheetProtection algorithmName="SHA-512" hashValue="nSewVum+kmhgEj1rvY6yLaQB8BtsYqZ6rx2a1EWFirx16qxP6In3XuOJpCVcskvS802WydA1kEiXpTu3TVlZVg==" saltValue="cJhEvj3JaU/ZJsJVJZt2PA==" spinCount="100000" sheet="1" objects="1" scenarios="1" selectLockedCells="1"/>
  <customSheetViews>
    <customSheetView guid="{82B311FB-57F0-41B4-A7C3-5882014D86A1}" scale="70" showGridLines="0" fitToPage="1">
      <selection activeCell="P6" sqref="P6:P7"/>
      <pageMargins left="0.19685039370078741" right="0.19685039370078741" top="0.19685039370078741" bottom="0.19685039370078741" header="0.19685039370078741" footer="0.19685039370078741"/>
      <printOptions horizontalCentered="1" verticalCentered="1"/>
      <pageSetup paperSize="9" scale="81" orientation="landscape" r:id="rId1"/>
      <headerFooter alignWithMargins="0"/>
    </customSheetView>
  </customSheetViews>
  <mergeCells count="47">
    <mergeCell ref="Q4:Q5"/>
    <mergeCell ref="R4:R5"/>
    <mergeCell ref="P3:Q3"/>
    <mergeCell ref="P2:Q2"/>
    <mergeCell ref="O17:O18"/>
    <mergeCell ref="P15:P16"/>
    <mergeCell ref="P17:P18"/>
    <mergeCell ref="P13:P14"/>
    <mergeCell ref="O13:O14"/>
    <mergeCell ref="O15:O16"/>
    <mergeCell ref="P11:P12"/>
    <mergeCell ref="Q10:Q18"/>
    <mergeCell ref="O4:O5"/>
    <mergeCell ref="P4:P5"/>
    <mergeCell ref="O6:O7"/>
    <mergeCell ref="P6:P7"/>
    <mergeCell ref="Q6:Q7"/>
    <mergeCell ref="P8:P9"/>
    <mergeCell ref="Q8:Q9"/>
    <mergeCell ref="M20:M21"/>
    <mergeCell ref="B17:M17"/>
    <mergeCell ref="B18:E19"/>
    <mergeCell ref="L18:M18"/>
    <mergeCell ref="I20:I21"/>
    <mergeCell ref="B20:E21"/>
    <mergeCell ref="F20:F21"/>
    <mergeCell ref="G20:G21"/>
    <mergeCell ref="H20:H21"/>
    <mergeCell ref="J20:J21"/>
    <mergeCell ref="K20:K21"/>
    <mergeCell ref="L20:L21"/>
    <mergeCell ref="B4:B7"/>
    <mergeCell ref="C4:C7"/>
    <mergeCell ref="B2:E3"/>
    <mergeCell ref="F2:J3"/>
    <mergeCell ref="D4:F5"/>
    <mergeCell ref="D6:D7"/>
    <mergeCell ref="E6:E7"/>
    <mergeCell ref="F6:F7"/>
    <mergeCell ref="I4:I7"/>
    <mergeCell ref="J4:J6"/>
    <mergeCell ref="M4:M7"/>
    <mergeCell ref="G4:H5"/>
    <mergeCell ref="O11:O12"/>
    <mergeCell ref="K4:K6"/>
    <mergeCell ref="L4:L7"/>
    <mergeCell ref="O8:O9"/>
  </mergeCells>
  <dataValidations count="1">
    <dataValidation type="list" allowBlank="1" showInputMessage="1" showErrorMessage="1" sqref="Q10 Q4 Q8 Q6" xr:uid="{6DA103B9-586E-4372-B6E2-8942AC413A1B}">
      <formula1>"Auto,Manual"</formula1>
    </dataValidation>
  </dataValidation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81" orientation="landscape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7" r:id="rId5" name="Spinner 1">
              <controlPr defaultSize="0" autoPict="0">
                <anchor moveWithCells="1" sizeWithCells="1">
                  <from>
                    <xdr:col>2</xdr:col>
                    <xdr:colOff>22860</xdr:colOff>
                    <xdr:row>5</xdr:row>
                    <xdr:rowOff>365760</xdr:rowOff>
                  </from>
                  <to>
                    <xdr:col>2</xdr:col>
                    <xdr:colOff>853440</xdr:colOff>
                    <xdr:row>6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8" r:id="rId6" name="Spinner 2">
              <controlPr defaultSize="0" autoPict="0">
                <anchor moveWithCells="1" sizeWithCells="1">
                  <from>
                    <xdr:col>17</xdr:col>
                    <xdr:colOff>22860</xdr:colOff>
                    <xdr:row>3</xdr:row>
                    <xdr:rowOff>7620</xdr:rowOff>
                  </from>
                  <to>
                    <xdr:col>18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9" r:id="rId7" name="Spinner 3">
              <controlPr defaultSize="0" autoPict="0">
                <anchor moveWithCells="1" sizeWithCells="1">
                  <from>
                    <xdr:col>17</xdr:col>
                    <xdr:colOff>15240</xdr:colOff>
                    <xdr:row>1</xdr:row>
                    <xdr:rowOff>15240</xdr:rowOff>
                  </from>
                  <to>
                    <xdr:col>17</xdr:col>
                    <xdr:colOff>1066800</xdr:colOff>
                    <xdr:row>1</xdr:row>
                    <xdr:rowOff>601980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โครงสร้างตัวแทน</vt:lpstr>
      <vt:lpstr>โครงสร้างรายได้</vt:lpstr>
      <vt:lpstr>รายได้</vt:lpstr>
      <vt:lpstr>TIME</vt:lpstr>
      <vt:lpstr>PA</vt:lpstr>
      <vt:lpstr>Life</vt:lpstr>
      <vt:lpstr>PA&amp;Life</vt:lpstr>
      <vt:lpstr>COM10</vt:lpstr>
      <vt:lpstr>COM5</vt:lpstr>
      <vt:lpstr>ขายรายเดือน 1</vt:lpstr>
      <vt:lpstr>ขายรายเดือน 2</vt:lpstr>
      <vt:lpstr>ขายรายเดือน 3</vt:lpstr>
      <vt:lpstr>รายได้ตัวแทน</vt:lpstr>
      <vt:lpstr>รายได้ตัวแทน 5 ปี</vt:lpstr>
      <vt:lpstr>COM10!Print_Area</vt:lpstr>
      <vt:lpstr>COM5!Print_Area</vt:lpstr>
      <vt:lpstr>Life!Print_Area</vt:lpstr>
      <vt:lpstr>PA!Print_Area</vt:lpstr>
      <vt:lpstr>PA&amp;Life!Print_Area</vt:lpstr>
      <vt:lpstr>TIME!Print_Area</vt:lpstr>
      <vt:lpstr>ขายรายเดือน 1!Print_Area</vt:lpstr>
      <vt:lpstr>ขายรายเดือน 2!Print_Area</vt:lpstr>
      <vt:lpstr>ขายรายเดือน 3!Print_Area</vt:lpstr>
      <vt:lpstr>โครงสร้างตัวแทน!Print_Area</vt:lpstr>
      <vt:lpstr>โครงสร้างรายได้!Print_Area</vt:lpstr>
      <vt:lpstr>รายได้!Print_Area</vt:lpstr>
      <vt:lpstr>รายได้ตัวแทน!Print_Area</vt:lpstr>
      <vt:lpstr>รายได้ตัวแทน 5 ปี!Print_Area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iLLuSioN</dc:creator>
  <cp:lastModifiedBy>best Ch</cp:lastModifiedBy>
  <cp:lastPrinted>2026-02-04T08:14:42Z</cp:lastPrinted>
  <dcterms:created xsi:type="dcterms:W3CDTF">2007-06-26T17:04:43Z</dcterms:created>
  <dcterms:modified xsi:type="dcterms:W3CDTF">2026-02-04T08:44:42Z</dcterms:modified>
</cp:coreProperties>
</file>